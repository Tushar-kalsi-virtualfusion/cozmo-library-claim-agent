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5415ec5d8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5697284d9d024489"/>
    <x:sheet xmlns:r="http://schemas.openxmlformats.org/officeDocument/2006/relationships" name="Books" sheetId="2" r:id="Reddd9dfe957048fb"/>
    <x:sheet xmlns:r="http://schemas.openxmlformats.org/officeDocument/2006/relationships" name="Spines" sheetId="3" r:id="Re1e3aa45085649f7"/>
    <x:sheet xmlns:r="http://schemas.openxmlformats.org/officeDocument/2006/relationships" name="Prices" sheetId="4" r:id="R6939219511e74ca0"/>
    <x:sheet xmlns:r="http://schemas.openxmlformats.org/officeDocument/2006/relationships" name="Objects" sheetId="5" r:id="R2975de78c02c4344"/>
    <x:sheet xmlns:r="http://schemas.openxmlformats.org/officeDocument/2006/relationships" name="Room" sheetId="6" r:id="R8de45c6cd419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0.00&quot; m²&quot;"/>
    <x:numFmt numFmtId="202" formatCode="0&quot; s&quot;"/>
    <x:numFmt numFmtId="203" formatCode="&quot;$&quot;0.0000"/>
    <x:numFmt numFmtId="204" formatCode="0.00"/>
    <x:numFmt numFmtId="205" formatCode="#,##0"/>
    <x:numFmt numFmtId="206" formatCode="yyyy-mm-dd hh:mm:ss"/>
    <x:numFmt numFmtId="207" formatCode="#,##0.00"/>
  </x:numFmts>
  <x:fonts count="4">
    <x:font>
      <x:sz val="11"/>
      <x:name val="Carlito"/>
    </x:font>
    <x:font>
      <x:sz val="10"/>
      <x:color rgb="FF243247"/>
      <x:name val="Arial"/>
    </x:font>
    <x:font>
      <x:b/>
      <x:sz val="14"/>
      <x:color rgb="FF162C4C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461"/>
      </x:patternFill>
    </x:fill>
    <x:fill>
      <x:patternFill patternType="solid">
        <x:fgColor rgb="FFFFF1C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3A2B8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/>
    </x:xf>
    <x:xf numFmtId="207" fontId="1" fillId="3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color rgb="FF7E4F00"/>
      </x:font>
      <x:fill>
        <x:patternFill patternType="solid">
          <x:bgColor rgb="FFFFF1CE"/>
        </x:patternFill>
      </x:fill>
    </x:dxf>
    <x:dxf>
      <x:font>
        <x:b/>
        <x:color rgb="FF9F241A"/>
      </x:font>
      <x:fill>
        <x:patternFill patternType="solid">
          <x:bgColor rgb="FFFCE3DF"/>
        </x:patternFill>
      </x:fill>
    </x:dxf>
    <x:dxf>
      <x:font>
        <x:color rgb="FF7E4F00"/>
      </x:font>
      <x:fill>
        <x:patternFill patternType="solid">
          <x:bgColor rgb="FFFFF1CE"/>
        </x:patternFill>
      </x:fill>
    </x:dxf>
    <x:dxf>
      <x:font>
        <x:b/>
        <x:color rgb="FF9F241A"/>
      </x:font>
      <x:fill>
        <x:patternFill patternType="solid">
          <x:bgColor rgb="FFFCE3DF"/>
        </x:patternFill>
      </x:fill>
    </x:dxf>
    <x:dxf>
      <x:font>
        <x:color rgb="FF7E4F00"/>
      </x:font>
      <x:fill>
        <x:patternFill patternType="solid">
          <x:bgColor rgb="FFFFF1CE"/>
        </x:patternFill>
      </x:fill>
    </x:dxf>
    <x:dxf>
      <x:font>
        <x:b/>
        <x:color rgb="FF9F241A"/>
      </x:font>
      <x:fill>
        <x:patternFill patternType="solid">
          <x:bgColor rgb="FFFCE3DF"/>
        </x:patternFill>
      </x:fill>
    </x:dxf>
    <x:dxf>
      <x:font>
        <x:color rgb="FF7E4F00"/>
      </x:font>
      <x:fill>
        <x:patternFill patternType="solid">
          <x:bgColor rgb="FFFFF1CE"/>
        </x:patternFill>
      </x:fill>
    </x:dxf>
    <x:dxf>
      <x:font>
        <x:b/>
        <x:color rgb="FF9F241A"/>
      </x:font>
      <x:fill>
        <x:patternFill patternType="solid">
          <x:bgColor rgb="FFFC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08cb691e34073" /><Relationship Type="http://schemas.openxmlformats.org/officeDocument/2006/relationships/theme" Target="/xl/theme/theme1.xml" Id="R8dadfd92f23543b6" /><Relationship Type="http://schemas.openxmlformats.org/officeDocument/2006/relationships/sharedStrings" Target="/xl/sharedStrings.xml" Id="Ra9baa6aceeca4d6b" /><Relationship Type="http://schemas.openxmlformats.org/officeDocument/2006/relationships/worksheet" Target="/xl/worksheets/sheet1.xml" Id="R5697284d9d024489" /><Relationship Type="http://schemas.openxmlformats.org/officeDocument/2006/relationships/worksheet" Target="/xl/worksheets/sheet2.xml" Id="Reddd9dfe957048fb" /><Relationship Type="http://schemas.openxmlformats.org/officeDocument/2006/relationships/worksheet" Target="/xl/worksheets/sheet3.xml" Id="Re1e3aa45085649f7" /><Relationship Type="http://schemas.openxmlformats.org/officeDocument/2006/relationships/worksheet" Target="/xl/worksheets/sheet4.xml" Id="R6939219511e74ca0" /><Relationship Type="http://schemas.openxmlformats.org/officeDocument/2006/relationships/worksheet" Target="/xl/worksheets/sheet5.xml" Id="R2975de78c02c4344" /><Relationship Type="http://schemas.openxmlformats.org/officeDocument/2006/relationships/worksheet" Target="/xl/worksheets/sheet6.xml" Id="R8de45c6cd41943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461"/>
  </x:sheetPr>
  <x:sheetViews>
    <x:sheetView showGridLines="0" workbookViewId="0"/>
  </x:sheetViews>
  <x:sheetFormatPr defaultRowHeight="15"/>
  <x:cols>
    <x:col min="1" max="1" width="29.440000534057617" hidden="0" customWidth="1"/>
    <x:col min="2" max="2" width="19.440000534057617" hidden="0" customWidth="1"/>
    <x:col min="3" max="3" width="25.559999465942383" hidden="0" customWidth="1"/>
    <x:col min="4" max="4" width="12.779999732971191" hidden="0" customWidth="1"/>
    <x:col min="5" max="5" width="14.4399995803833" hidden="0" customWidth="1"/>
    <x:col min="6" max="6" width="13.329999923706055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Assessment results — incomplete</x:v>
      </x:c>
      <x:c r="B2" s="2"/>
      <x:c r="C2" s="2"/>
      <x:c r="D2" s="2"/>
      <x:c r="E2" s="2"/>
      <x:c r="F2" s="2"/>
    </x:row>
    <x:row r="3" ht="24" customHeight="1">
      <x:c r="A3" s="4"/>
      <x:c r="B3" s="4"/>
      <x:c r="C3" s="4"/>
      <x:c r="D3" s="4"/>
      <x:c r="E3" s="4"/>
      <x:c r="F3" s="4"/>
    </x:row>
    <x:row r="4" ht="24" customHeight="1">
      <x:c r="A4" s="2" t="str">
        <x:v>No independent ground truth was recorded. Accuracy pass bars are unverified.</x:v>
      </x:c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34" customHeight="1">
      <x:c r="A6" s="8" t="str">
        <x:v>Measure</x:v>
      </x:c>
      <x:c r="B6" s="8" t="str">
        <x:v>System output</x:v>
      </x:c>
      <x:c r="C6" s="8" t="str">
        <x:v>Missing comparison</x:v>
      </x:c>
      <x:c r="D6" s="8" t="str">
        <x:v>Pass bar</x:v>
      </x:c>
      <x:c r="E6" s="8" t="str">
        <x:v>Measured result</x:v>
      </x:c>
      <x:c r="F6" s="8" t="str">
        <x:v>Status</x:v>
      </x:c>
    </x:row>
    <x:row r="7" ht="42" customHeight="1">
      <x:c r="A7" s="9" t="str">
        <x:v>Book count</x:v>
      </x:c>
      <x:c r="B7" s="9" t="n">
        <x:v>3</x:v>
      </x:c>
      <x:c r="C7" s="9" t="str">
        <x:v>Independent complete-room count</x:v>
      </x:c>
      <x:c r="D7" s="10" t="n">
        <x:v>0.05</x:v>
      </x:c>
      <x:c r="E7" s="10" t="str">
        <x:f>IF(OR(B22="",B22&lt;=0),"Unverified",ABS(B7-B22)/B22)</x:f>
        <x:v>Unverified</x:v>
      </x:c>
      <x:c r="F7" s="2" t="str">
        <x:f>IF(ISNUMBER(E7),IF(E7&lt;=D7,"Pass","Fail"),"Unverified")</x:f>
        <x:v>Unverified</x:v>
      </x:c>
    </x:row>
    <x:row r="8" ht="42" customHeight="1">
      <x:c r="A8" s="9" t="str">
        <x:v>Title recall</x:v>
      </x:c>
      <x:c r="B8" s="9" t="str">
        <x:v>1 identified / 3 records</x:v>
      </x:c>
      <x:c r="C8" s="9" t="str">
        <x:v>All human-legible spine titles</x:v>
      </x:c>
      <x:c r="D8" s="10" t="n">
        <x:v>0.7</x:v>
      </x:c>
      <x:c r="E8" s="10" t="str">
        <x:f>IF(OR(B25&lt;&gt;"Yes",COUNTIFS(Books!C16:C75,"Yes")=0),"Unverified",COUNTIFS(Books!C16:C75,"Yes",Books!F16:F75,"Yes")/COUNTIFS(Books!C16:C75,"Yes"))</x:f>
        <x:v>Unverified</x:v>
      </x:c>
      <x:c r="F8" s="2" t="str">
        <x:f>IF(ISNUMBER(E8),IF(E8&gt;=D8,"Pass","Fail"),"Unverified")</x:f>
        <x:v>Unverified</x:v>
      </x:c>
    </x:row>
    <x:row r="9" ht="42" customHeight="1">
      <x:c r="A9" s="9" t="str">
        <x:v>Confidently wrong title rate</x:v>
      </x:c>
      <x:c r="B9" s="9" t="str">
        <x:v>Confidence threshold 0.85</x:v>
      </x:c>
      <x:c r="C9" s="9" t="str">
        <x:v>Independent identity review</x:v>
      </x:c>
      <x:c r="D9" s="10" t="n">
        <x:v>0.03</x:v>
      </x:c>
      <x:c r="E9" s="10" t="str">
        <x:f>IF(OR(B25&lt;&gt;"Yes",B27&lt;&gt;"Yes",COUNTIFS(Books!D6:D8,"&gt;=0.85")=0),"Unverified",COUNTIFS(Books!G16:G75,"Yes")/COUNTIFS(Books!D6:D8,"&gt;=0.85"))</x:f>
        <x:v>Unverified</x:v>
      </x:c>
      <x:c r="F9" s="2" t="str">
        <x:f>IF(ISNUMBER(E9),IF(E9&lt;=D9,"Pass","Fail"),"Unverified")</x:f>
        <x:v>Unverified</x:v>
      </x:c>
    </x:row>
    <x:row r="10" ht="42" customHeight="1">
      <x:c r="A10" s="9" t="str">
        <x:v>Spine height: worst relative error</x:v>
      </x:c>
      <x:c r="B10" s="9" t="str">
        <x:v>2 available measurements</x:v>
      </x:c>
      <x:c r="C10" s="9" t="str">
        <x:v>20 preselected hand measurements</x:v>
      </x:c>
      <x:c r="D10" s="10" t="n">
        <x:v>0.15</x:v>
      </x:c>
      <x:c r="E10" s="10" t="str">
        <x:f>IF(COUNT(Spines!F6:F25)&lt;20,"Unverified",MAX(Spines!F6:F25))</x:f>
        <x:v>Unverified</x:v>
      </x:c>
      <x:c r="F10" s="2" t="str">
        <x:f>IF(ISNUMBER(E10),IF(E10&lt;=D10,"Pass","Fail"),"Unverified")</x:f>
        <x:v>Unverified</x:v>
      </x:c>
    </x:row>
    <x:row r="11" ht="42" customHeight="1">
      <x:c r="A11" s="9" t="str">
        <x:v>Spine thickness: worst relative error</x:v>
      </x:c>
      <x:c r="B11" s="9" t="str">
        <x:v>2 available measurements</x:v>
      </x:c>
      <x:c r="C11" s="9" t="str">
        <x:v>20 preselected hand measurements</x:v>
      </x:c>
      <x:c r="D11" s="10" t="n">
        <x:v>0.15</x:v>
      </x:c>
      <x:c r="E11" s="10" t="str">
        <x:f>IF(COUNT(Spines!G6:G25)&lt;20,"Unverified",MAX(Spines!G6:G25))</x:f>
        <x:v>Unverified</x:v>
      </x:c>
      <x:c r="F11" s="2" t="str">
        <x:f>IF(ISNUMBER(E11),IF(E11&lt;=D11,"Pass","Fail"),"Unverified")</x:f>
        <x:v>Unverified</x:v>
      </x:c>
    </x:row>
    <x:row r="12" ht="42" customHeight="1">
      <x:c r="A12" s="9" t="str">
        <x:v>Book price: worst relative error</x:v>
      </x:c>
      <x:c r="B12" s="9" t="str">
        <x:v>1 replacement; 0 used</x:v>
      </x:c>
      <x:c r="C12" s="9" t="str">
        <x:v>15 comparable hand-checked prices</x:v>
      </x:c>
      <x:c r="D12" s="10" t="n">
        <x:v>0.25</x:v>
      </x:c>
      <x:c r="E12" s="10" t="str">
        <x:f>IF(COUNT(Prices!I6:I20)&lt;15,"Unverified",MAX(Prices!I6:I20))</x:f>
        <x:v>Unverified</x:v>
      </x:c>
      <x:c r="F12" s="2" t="str">
        <x:f>IF(ISNUMBER(E12),IF(E12&lt;=D12,"Pass","Fail"),"Unverified")</x:f>
        <x:v>Unverified</x:v>
      </x:c>
    </x:row>
    <x:row r="13" ht="42" customHeight="1">
      <x:c r="A13" s="9" t="str">
        <x:v>Non-book category recall</x:v>
      </x:c>
      <x:c r="B13" s="9" t="n">
        <x:v>76</x:v>
      </x:c>
      <x:c r="C13" s="9" t="str">
        <x:v>Independent complete-room item list</x:v>
      </x:c>
      <x:c r="D13" s="10" t="n">
        <x:v>0.8</x:v>
      </x:c>
      <x:c r="E13" s="10" t="str">
        <x:f>IF(OR(B26&lt;&gt;"Yes",B24="",B24&lt;=0,COUNTA(Objects!A87:A166)&lt;B24),"Unverified",COUNTIFS(Objects!D87:D166,"Yes")/B24)</x:f>
        <x:v>Unverified</x:v>
      </x:c>
      <x:c r="F13" s="2" t="str">
        <x:f>IF(ISNUMBER(E13),IF(E13&gt;=D13,"Pass","Fail"),"Unverified")</x:f>
        <x:v>Unverified</x:v>
      </x:c>
    </x:row>
    <x:row r="14" ht="42" customHeight="1">
      <x:c r="A14" s="9" t="str">
        <x:v>Floor area relative error</x:v>
      </x:c>
      <x:c r="B14" s="9" t="str">
        <x:v>Unavailable</x:v>
      </x:c>
      <x:c r="C14" s="9" t="str">
        <x:v>Tape-measured floor area</x:v>
      </x:c>
      <x:c r="D14" s="10" t="n">
        <x:v>0.1</x:v>
      </x:c>
      <x:c r="E14" s="10" t="str">
        <x:f>Room!E9</x:f>
        <x:v>Unverified</x:v>
      </x:c>
      <x:c r="F14" s="2" t="str">
        <x:f>IF(ISNUMBER(E14),IF(E14&lt;=D14,"Pass","Fail"),"Unverified")</x:f>
        <x:v>Unverified</x:v>
      </x:c>
    </x:row>
    <x:row r="15" ht="42" customHeight="1">
      <x:c r="A15" s="9" t="str">
        <x:v>Gross wall area relative error</x:v>
      </x:c>
      <x:c r="B15" s="11" t="n">
        <x:v>48.65418721541092</x:v>
      </x:c>
      <x:c r="C15" s="9" t="str">
        <x:v>Tape-measured gross wall area</x:v>
      </x:c>
      <x:c r="D15" s="10" t="n">
        <x:v>0.15</x:v>
      </x:c>
      <x:c r="E15" s="10" t="str">
        <x:f>Room!E10</x:f>
        <x:v>Unverified</x:v>
      </x:c>
      <x:c r="F15" s="2" t="str">
        <x:f>IF(ISNUMBER(E15),IF(E15&lt;=D15,"Pass","Fail"),"Unverified")</x:f>
        <x:v>Unverified</x:v>
      </x:c>
    </x:row>
    <x:row r="16" ht="42" customHeight="1">
      <x:c r="A16" s="9" t="str">
        <x:v>End-of-sweep to packet (seconds)</x:v>
      </x:c>
      <x:c r="B16" s="9" t="str">
        <x:v>Unavailable</x:v>
      </x:c>
      <x:c r="C16" s="9" t="str">
        <x:v>End and ready timestamps</x:v>
      </x:c>
      <x:c r="D16" s="12" t="n">
        <x:v>300</x:v>
      </x:c>
      <x:c r="E16" s="2" t="str">
        <x:v>Unverified</x:v>
      </x:c>
      <x:c r="F16" s="2" t="str">
        <x:v>Unverified</x:v>
      </x:c>
    </x:row>
    <x:row r="17" ht="24" customHeight="1">
      <x:c r="A17" s="2"/>
      <x:c r="B17" s="2"/>
      <x:c r="C17" s="2"/>
      <x:c r="D17" s="2"/>
      <x:c r="E17" s="2"/>
      <x:c r="F17" s="2"/>
    </x:row>
    <x:row r="18" ht="24" customHeight="1">
      <x:c r="A18" s="2" t="str">
        <x:v>Current saved run: 20 October 2026 IST. Revision 406. Status: partial.</x:v>
      </x:c>
      <x:c r="B18" s="2"/>
      <x:c r="C18" s="2"/>
      <x:c r="D18" s="2"/>
      <x:c r="E18" s="2"/>
      <x:c r="F18" s="2"/>
    </x:row>
    <x:row r="19" ht="24" customHeight="1">
      <x:c r="A19" s="2" t="str">
        <x:v>Inventory was repaired after capture. The later video shows 3 books / 76 objects.</x:v>
      </x:c>
      <x:c r="B19" s="2"/>
      <x:c r="C19" s="2"/>
      <x:c r="D19" s="2"/>
      <x:c r="E19" s="2"/>
      <x:c r="F19" s="2"/>
    </x:row>
    <x:row r="20" ht="24" customHeight="1">
      <x:c r="A20" s="2"/>
      <x:c r="B20" s="2"/>
      <x:c r="C20" s="2"/>
      <x:c r="D20" s="2"/>
      <x:c r="E20" s="2"/>
      <x:c r="F20" s="2"/>
    </x:row>
    <x:row r="21" ht="34" customHeight="1">
      <x:c r="A21" s="8" t="str">
        <x:v>Independent inputs</x:v>
      </x:c>
      <x:c r="B21" s="8" t="str">
        <x:v>Value</x:v>
      </x:c>
      <x:c r="C21" s="2"/>
      <x:c r="D21" s="2" t="str">
        <x:v>Known cost (USD)</x:v>
      </x:c>
      <x:c r="E21" s="2" t="str">
        <x:v>Cost status</x:v>
      </x:c>
      <x:c r="F21" s="2" t="str">
        <x:v>Uncosted requests</x:v>
      </x:c>
    </x:row>
    <x:row r="22" ht="24" customHeight="1">
      <x:c r="A22" s="2" t="str">
        <x:v>True complete-room book count</x:v>
      </x:c>
      <x:c r="B22" s="13"/>
      <x:c r="C22" s="2"/>
      <x:c r="D22" s="14" t="n">
        <x:v>6.01116405</x:v>
      </x:c>
      <x:c r="E22" s="2" t="str">
        <x:v>Partial estimate</x:v>
      </x:c>
      <x:c r="F22" s="2" t="n">
        <x:v>1</x:v>
      </x:c>
    </x:row>
    <x:row r="23" ht="24" customHeight="1">
      <x:c r="A23" s="2" t="str">
        <x:v>True shelving-unit count</x:v>
      </x:c>
      <x:c r="B23" s="13"/>
      <x:c r="C23" s="2"/>
      <x:c r="D23" s="2"/>
      <x:c r="E23" s="2"/>
      <x:c r="F23" s="2"/>
    </x:row>
    <x:row r="24" ht="24" customHeight="1">
      <x:c r="A24" s="2" t="str">
        <x:v>True non-book item count</x:v>
      </x:c>
      <x:c r="B24" s="13"/>
      <x:c r="C24" s="2"/>
      <x:c r="D24" s="2"/>
      <x:c r="E24" s="2"/>
      <x:c r="F24" s="2"/>
    </x:row>
    <x:row r="25" ht="24" customHeight="1">
      <x:c r="A25" s="2" t="str">
        <x:v>Book truth list complete?</x:v>
      </x:c>
      <x:c r="B25" s="13" t="str">
        <x:v>No</x:v>
      </x:c>
      <x:c r="C25" s="2"/>
      <x:c r="D25" s="2"/>
      <x:c r="E25" s="2"/>
      <x:c r="F25" s="2"/>
    </x:row>
    <x:row r="26" ht="24" customHeight="1">
      <x:c r="A26" s="2" t="str">
        <x:v>Object truth list complete?</x:v>
      </x:c>
      <x:c r="B26" s="13" t="str">
        <x:v>No</x:v>
      </x:c>
      <x:c r="C26" s="2"/>
      <x:c r="D26" s="2"/>
      <x:c r="E26" s="2"/>
      <x:c r="F26" s="2"/>
    </x:row>
    <x:row r="27" ht="24" customHeight="1">
      <x:c r="A27" s="2" t="str">
        <x:v>Confidence threshold frozen?</x:v>
      </x:c>
      <x:c r="B27" s="13" t="str">
        <x:v>No</x:v>
      </x:c>
      <x:c r="C27" s="2"/>
      <x:c r="D27" s="2"/>
      <x:c r="E27" s="2"/>
      <x:c r="F27" s="2"/>
    </x:row>
    <x:row r="28" ht="24" customHeight="1">
      <x:c r="A28" s="2" t="str">
        <x:v>Ground truth frozen before tuning?</x:v>
      </x:c>
      <x:c r="B28" s="13" t="str">
        <x:v>No</x:v>
      </x:c>
      <x:c r="C28" s="2"/>
      <x:c r="D28" s="2"/>
      <x:c r="E28" s="2"/>
      <x:c r="F28" s="2"/>
    </x:row>
    <x:row r="29" ht="24" customHeight="1">
      <x:c r="A29" s="2"/>
      <x:c r="B29" s="2"/>
      <x:c r="C29" s="2"/>
      <x:c r="D29" s="2"/>
      <x:c r="E29" s="2"/>
      <x:c r="F29" s="2"/>
    </x:row>
    <x:row r="30" ht="24" customHeight="1">
      <x:c r="A30" s="2" t="str">
        <x:v>Missing human values stay blank. Amber cells accept independent observations.</x:v>
      </x:c>
      <x:c r="B30" s="2"/>
      <x:c r="C30" s="2"/>
      <x:c r="D30" s="2"/>
      <x:c r="E30" s="2"/>
      <x:c r="F30" s="2"/>
    </x:row>
    <x:row r="31" ht="24" customHeight="1">
      <x:c r="A31" s="2" t="str">
        <x:v>20-spine and 15-price gates use worst relative error; all required comparisons must exist.</x:v>
      </x:c>
      <x:c r="B31" s="2"/>
      <x:c r="C31" s="2"/>
      <x:c r="D31" s="2"/>
      <x:c r="E31" s="2"/>
      <x:c r="F31" s="2"/>
    </x:row>
    <x:row r="32" ht="24" customHeight="1">
      <x:c r="A32" s="2" t="str">
        <x:v>A later measurement cannot establish that ground truth was frozen before tuning.</x:v>
      </x:c>
      <x:c r="B32" s="2"/>
      <x:c r="C32" s="2"/>
      <x:c r="D32" s="2"/>
      <x:c r="E32" s="2"/>
      <x:c r="F32" s="2"/>
    </x:row>
    <x:row r="33" ht="24" customHeight="1">
      <x:c r="A33" s="2"/>
      <x:c r="B33" s="2"/>
      <x:c r="C33" s="2"/>
      <x:c r="D33" s="2"/>
      <x:c r="E33" s="2"/>
      <x:c r="F33" s="2"/>
    </x:row>
    <x:row r="34" ht="24" customHeight="1">
      <x:c r="A34" s="2" t="str">
        <x:v>Original workbook inspected: no count, titles, measurements or price checks were entered.</x:v>
      </x:c>
      <x:c r="B34" s="2"/>
      <x:c r="C34" s="2"/>
      <x:c r="D34" s="2"/>
      <x:c r="E34" s="2"/>
      <x:c r="F34" s="2"/>
    </x:row>
    <x:row r="35" ht="24" customHeight="1">
      <x:c r="A35" s="2"/>
      <x:c r="B35" s="2"/>
      <x:c r="C35" s="2"/>
      <x:c r="D35" s="2"/>
      <x:c r="E35" s="2"/>
      <x:c r="F35" s="2"/>
    </x:row>
    <x:row r="36" ht="24" customHeight="1">
      <x:c r="A36" s="2" t="str">
        <x:v>Sources: current claim packet and assessment brief (reviewer access required).</x:v>
      </x:c>
      <x:c r="B36" s="2"/>
      <x:c r="C36" s="2"/>
      <x:c r="D36" s="2"/>
      <x:c r="E36" s="2"/>
      <x:c r="F36" s="2"/>
    </x:row>
    <x:row r="37" ht="24" customHeight="1">
      <x:c r="A37" s="2" t="str">
        <x:v>https://docs.google.com/document/d/1U-Q1EBCZl9hDmOzVfPOmk453Qe5UAM_AZKcmISPbcec/edit</x:v>
      </x:c>
      <x:c r="B37" s="2"/>
      <x:c r="C37" s="2"/>
      <x:c r="D37" s="2"/>
      <x:c r="E37" s="2"/>
      <x:c r="F37" s="2"/>
    </x:row>
    <x:row r="38" ht="24" customHeight="1">
      <x:c r="A38" s="2"/>
      <x:c r="B38" s="2"/>
      <x:c r="C38" s="2"/>
      <x:c r="D38" s="2"/>
      <x:c r="E38" s="2"/>
      <x:c r="F38" s="2"/>
    </x:row>
  </x:sheetData>
  <x:conditionalFormatting sqref="F7:F16">
    <x:cfRule type="containsText" dxfId="0" priority="1" operator="containsText" text="Unverified"/>
    <x:cfRule type="containsText" dxfId="1" priority="2" operator="containsText" text="Fail"/>
  </x:conditionalFormatting>
  <x:dataValidations count="1">
    <x:dataValidation type="list" sqref="B25:B28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.670000076293945" hidden="0" customWidth="1"/>
    <x:col min="2" max="2" width="17.219999313354492" hidden="0" customWidth="1"/>
    <x:col min="3" max="3" width="12.220000267028809" hidden="0" customWidth="1"/>
    <x:col min="4" max="4" width="10" hidden="0" customWidth="1"/>
    <x:col min="5" max="5" width="10.5600004196167" hidden="0" customWidth="1"/>
    <x:col min="6" max="6" width="10.5600004196167" hidden="0" customWidth="1"/>
    <x:col min="7" max="7" width="12.220000267028809" hidden="0" customWidth="1"/>
    <x:col min="8" max="8" width="11.109999656677246" hidden="0" customWidth="1"/>
    <x:col min="9" max="9" width="17.780000686645508" hidden="0" customWidth="1"/>
    <x:col min="10" max="10" width="31.110000610351562" hidden="0" customWidth="1"/>
    <x:col min="11" max="11" width="20" hidden="0" customWidth="1"/>
    <x:col min="12" max="12" width="34.43999862670898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Books — system output and separate human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2" t="str">
        <x:v>Source: submission/evidence/current/claim_packet.json. These three records are system predictions.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8" t="str">
        <x:v>System ID</x:v>
      </x:c>
      <x:c r="B5" s="8" t="str">
        <x:v>Predicted title</x:v>
      </x:c>
      <x:c r="C5" s="8" t="str">
        <x:v>System status</x:v>
      </x:c>
      <x:c r="D5" s="8" t="str">
        <x:v>ID confidence</x:v>
      </x:c>
      <x:c r="E5" s="8" t="str">
        <x:v>Height (cm)</x:v>
      </x:c>
      <x:c r="F5" s="8" t="str">
        <x:v>Thickness (cm)</x:v>
      </x:c>
      <x:c r="G5" s="8" t="str">
        <x:v>Replacement (INR)</x:v>
      </x:c>
      <x:c r="H5" s="8" t="str">
        <x:v>Used (INR)</x:v>
      </x:c>
      <x:c r="I5" s="8" t="str">
        <x:v>Frame reference</x:v>
      </x:c>
      <x:c r="J5" s="8" t="str">
        <x:v>Price source URL</x:v>
      </x:c>
      <x:c r="K5" s="8" t="str">
        <x:v>Retrieved (UTC)</x:v>
      </x:c>
      <x:c r="L5" s="8" t="str">
        <x:v>Price caveat</x:v>
      </x:c>
    </x:row>
    <x:row r="6" ht="70" customHeight="1">
      <x:c r="A6" s="9" t="str">
        <x:v>b_21ac928628da</x:v>
      </x:c>
      <x:c r="B6" s="9" t="str"/>
      <x:c r="C6" s="9" t="str">
        <x:v>unidentified</x:v>
      </x:c>
      <x:c r="D6" s="17" t="n">
        <x:v>0</x:v>
      </x:c>
      <x:c r="E6" s="18"/>
      <x:c r="F6" s="18"/>
      <x:c r="G6" s="19"/>
      <x:c r="H6" s="19"/>
      <x:c r="I6" s="9" t="str">
        <x:v>frames/f00008.jpg</x:v>
      </x:c>
      <x:c r="J6" s="9" t="str"/>
      <x:c r="K6" s="20" t="str"/>
      <x:c r="L6" s="9" t="str">
        <x:v>No supported offer</x:v>
      </x:c>
    </x:row>
    <x:row r="7" ht="70" customHeight="1">
      <x:c r="A7" s="9" t="str">
        <x:v>b_caca9431b1d9</x:v>
      </x:c>
      <x:c r="B7" s="9" t="str"/>
      <x:c r="C7" s="9" t="str">
        <x:v>unidentified</x:v>
      </x:c>
      <x:c r="D7" s="17" t="n">
        <x:v>0</x:v>
      </x:c>
      <x:c r="E7" s="18" t="n">
        <x:v>22.3099</x:v>
      </x:c>
      <x:c r="F7" s="18" t="n">
        <x:v>2.8759</x:v>
      </x:c>
      <x:c r="G7" s="19"/>
      <x:c r="H7" s="19"/>
      <x:c r="I7" s="9" t="str">
        <x:v>frames/f00007.jpg</x:v>
      </x:c>
      <x:c r="J7" s="9" t="str"/>
      <x:c r="K7" s="20" t="str"/>
      <x:c r="L7" s="9" t="str">
        <x:v>No supported offer</x:v>
      </x:c>
    </x:row>
    <x:row r="8" ht="100" customHeight="1">
      <x:c r="A8" s="9" t="str">
        <x:v>b_c40871dff8af</x:v>
      </x:c>
      <x:c r="B8" s="9" t="str">
        <x:v>Atomic Habits</x:v>
      </x:c>
      <x:c r="C8" s="9" t="str">
        <x:v>identified</x:v>
      </x:c>
      <x:c r="D8" s="17" t="n">
        <x:v>0.98</x:v>
      </x:c>
      <x:c r="E8" s="18" t="n">
        <x:v>21.054</x:v>
      </x:c>
      <x:c r="F8" s="18" t="n">
        <x:v>7.6712</x:v>
      </x:c>
      <x:c r="G8" s="19" t="n">
        <x:v>273</x:v>
      </x:c>
      <x:c r="H8" s="19"/>
      <x:c r="I8" s="9" t="str">
        <x:v>frames/f00009.jpg</x:v>
      </x:c>
      <x:c r="J8" s="9" t="str">
        <x:v>https://www.flipkart.com/atomic-habits-chote-badlav-asadharan-parinaam-hindi/p/itmbbb204ebf1cdf</x:v>
      </x:c>
      <x:c r="K8" s="20" t="d">
        <x:v>2026-10-19T19:58:23.873Z</x:v>
      </x:c>
      <x:c r="L8" s="9" t="str">
        <x:v>Hindi-edition listing; language/edition and observed author unverified. Equivalent, not exact.</x:v>
      </x:c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2" t="str">
        <x:v>Independent truth list — empty; enumerate all physical books, including missed and unreadable books.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 t="str">
        <x:v>A matched system ID is only a cross-reference. It does not supply a human title or measurement.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34" customHeight="1">
      <x:c r="A15" s="8" t="str">
        <x:v>Physical ID</x:v>
      </x:c>
      <x:c r="B15" s="8" t="str">
        <x:v>Shelf / unit</x:v>
      </x:c>
      <x:c r="C15" s="8" t="str">
        <x:v>Legible spine?</x:v>
      </x:c>
      <x:c r="D15" s="8" t="str">
        <x:v>Human title</x:v>
      </x:c>
      <x:c r="E15" s="8" t="str">
        <x:v>Matched system ID</x:v>
      </x:c>
      <x:c r="F15" s="8" t="str">
        <x:v>Correct identity?</x:v>
      </x:c>
      <x:c r="G15" s="8" t="str">
        <x:v>Confidently wrong?</x:v>
      </x:c>
      <x:c r="H15" s="8" t="str">
        <x:v>Notes</x:v>
      </x:c>
      <x:c r="I15" s="2"/>
      <x:c r="J15" s="2"/>
      <x:c r="K15" s="2"/>
      <x:c r="L15" s="2"/>
    </x:row>
    <x:row r="16" ht="24" customHeight="1">
      <x:c r="A16" s="13"/>
      <x:c r="B16" s="13"/>
      <x:c r="C16" s="13"/>
      <x:c r="D16" s="13"/>
      <x:c r="E16" s="13"/>
      <x:c r="F16" s="13"/>
      <x:c r="G16" s="13"/>
      <x:c r="H16" s="13"/>
      <x:c r="I16" s="2"/>
      <x:c r="J16" s="2"/>
      <x:c r="K16" s="2"/>
      <x:c r="L16" s="2"/>
    </x:row>
    <x:row r="17" ht="24" customHeight="1">
      <x:c r="A17" s="13"/>
      <x:c r="B17" s="13"/>
      <x:c r="C17" s="13"/>
      <x:c r="D17" s="13"/>
      <x:c r="E17" s="13"/>
      <x:c r="F17" s="13"/>
      <x:c r="G17" s="13"/>
      <x:c r="H17" s="13"/>
      <x:c r="I17" s="2"/>
      <x:c r="J17" s="2"/>
      <x:c r="K17" s="2"/>
      <x:c r="L17" s="2"/>
    </x:row>
    <x:row r="18" ht="24" customHeight="1">
      <x:c r="A18" s="13"/>
      <x:c r="B18" s="13"/>
      <x:c r="C18" s="13"/>
      <x:c r="D18" s="13"/>
      <x:c r="E18" s="13"/>
      <x:c r="F18" s="13"/>
      <x:c r="G18" s="13"/>
      <x:c r="H18" s="13"/>
      <x:c r="I18" s="2"/>
      <x:c r="J18" s="2"/>
      <x:c r="K18" s="2"/>
      <x:c r="L18" s="2"/>
    </x:row>
    <x:row r="19" ht="24" customHeight="1">
      <x:c r="A19" s="13"/>
      <x:c r="B19" s="13"/>
      <x:c r="C19" s="13"/>
      <x:c r="D19" s="13"/>
      <x:c r="E19" s="13"/>
      <x:c r="F19" s="13"/>
      <x:c r="G19" s="13"/>
      <x:c r="H19" s="13"/>
      <x:c r="I19" s="2"/>
      <x:c r="J19" s="2"/>
      <x:c r="K19" s="2"/>
      <x:c r="L19" s="2"/>
    </x:row>
    <x:row r="20" ht="24" customHeight="1">
      <x:c r="A20" s="13"/>
      <x:c r="B20" s="13"/>
      <x:c r="C20" s="13"/>
      <x:c r="D20" s="13"/>
      <x:c r="E20" s="13"/>
      <x:c r="F20" s="13"/>
      <x:c r="G20" s="13"/>
      <x:c r="H20" s="13"/>
      <x:c r="I20" s="2"/>
      <x:c r="J20" s="2"/>
      <x:c r="K20" s="2"/>
      <x:c r="L20" s="2"/>
    </x:row>
    <x:row r="21" ht="24" customHeight="1">
      <x:c r="A21" s="13"/>
      <x:c r="B21" s="13"/>
      <x:c r="C21" s="13"/>
      <x:c r="D21" s="13"/>
      <x:c r="E21" s="13"/>
      <x:c r="F21" s="13"/>
      <x:c r="G21" s="13"/>
      <x:c r="H21" s="13"/>
      <x:c r="I21" s="2"/>
      <x:c r="J21" s="2"/>
      <x:c r="K21" s="2"/>
      <x:c r="L21" s="2"/>
    </x:row>
    <x:row r="22" ht="24" customHeight="1">
      <x:c r="A22" s="13"/>
      <x:c r="B22" s="13"/>
      <x:c r="C22" s="13"/>
      <x:c r="D22" s="13"/>
      <x:c r="E22" s="13"/>
      <x:c r="F22" s="13"/>
      <x:c r="G22" s="13"/>
      <x:c r="H22" s="13"/>
      <x:c r="I22" s="2"/>
      <x:c r="J22" s="2"/>
      <x:c r="K22" s="2"/>
      <x:c r="L22" s="2"/>
    </x:row>
    <x:row r="23" ht="24" customHeight="1">
      <x:c r="A23" s="13"/>
      <x:c r="B23" s="13"/>
      <x:c r="C23" s="13"/>
      <x:c r="D23" s="13"/>
      <x:c r="E23" s="13"/>
      <x:c r="F23" s="13"/>
      <x:c r="G23" s="13"/>
      <x:c r="H23" s="13"/>
      <x:c r="I23" s="2"/>
      <x:c r="J23" s="2"/>
      <x:c r="K23" s="2"/>
      <x:c r="L23" s="2"/>
    </x:row>
    <x:row r="24" ht="24" customHeight="1">
      <x:c r="A24" s="13"/>
      <x:c r="B24" s="13"/>
      <x:c r="C24" s="13"/>
      <x:c r="D24" s="13"/>
      <x:c r="E24" s="13"/>
      <x:c r="F24" s="13"/>
      <x:c r="G24" s="13"/>
      <x:c r="H24" s="13"/>
      <x:c r="I24" s="2"/>
      <x:c r="J24" s="2"/>
      <x:c r="K24" s="2"/>
      <x:c r="L24" s="2"/>
    </x:row>
    <x:row r="25" ht="24" customHeight="1">
      <x:c r="A25" s="13"/>
      <x:c r="B25" s="13"/>
      <x:c r="C25" s="13"/>
      <x:c r="D25" s="13"/>
      <x:c r="E25" s="13"/>
      <x:c r="F25" s="13"/>
      <x:c r="G25" s="13"/>
      <x:c r="H25" s="13"/>
      <x:c r="I25" s="2"/>
      <x:c r="J25" s="2"/>
      <x:c r="K25" s="2"/>
      <x:c r="L25" s="2"/>
    </x:row>
    <x:row r="26" ht="24" customHeight="1">
      <x:c r="A26" s="13"/>
      <x:c r="B26" s="13"/>
      <x:c r="C26" s="13"/>
      <x:c r="D26" s="13"/>
      <x:c r="E26" s="13"/>
      <x:c r="F26" s="13"/>
      <x:c r="G26" s="13"/>
      <x:c r="H26" s="13"/>
      <x:c r="I26" s="2"/>
      <x:c r="J26" s="2"/>
      <x:c r="K26" s="2"/>
      <x:c r="L26" s="2"/>
    </x:row>
    <x:row r="27" ht="24" customHeight="1">
      <x:c r="A27" s="13"/>
      <x:c r="B27" s="13"/>
      <x:c r="C27" s="13"/>
      <x:c r="D27" s="13"/>
      <x:c r="E27" s="13"/>
      <x:c r="F27" s="13"/>
      <x:c r="G27" s="13"/>
      <x:c r="H27" s="13"/>
      <x:c r="I27" s="2"/>
      <x:c r="J27" s="2"/>
      <x:c r="K27" s="2"/>
      <x:c r="L27" s="2"/>
    </x:row>
    <x:row r="28" ht="24" customHeight="1">
      <x:c r="A28" s="13"/>
      <x:c r="B28" s="13"/>
      <x:c r="C28" s="13"/>
      <x:c r="D28" s="13"/>
      <x:c r="E28" s="13"/>
      <x:c r="F28" s="13"/>
      <x:c r="G28" s="13"/>
      <x:c r="H28" s="13"/>
      <x:c r="I28" s="2"/>
      <x:c r="J28" s="2"/>
      <x:c r="K28" s="2"/>
      <x:c r="L28" s="2"/>
    </x:row>
    <x:row r="29" ht="24" customHeight="1">
      <x:c r="A29" s="13"/>
      <x:c r="B29" s="13"/>
      <x:c r="C29" s="13"/>
      <x:c r="D29" s="13"/>
      <x:c r="E29" s="13"/>
      <x:c r="F29" s="13"/>
      <x:c r="G29" s="13"/>
      <x:c r="H29" s="13"/>
      <x:c r="I29" s="2"/>
      <x:c r="J29" s="2"/>
      <x:c r="K29" s="2"/>
      <x:c r="L29" s="2"/>
    </x:row>
    <x:row r="30" ht="24" customHeight="1">
      <x:c r="A30" s="13"/>
      <x:c r="B30" s="13"/>
      <x:c r="C30" s="13"/>
      <x:c r="D30" s="13"/>
      <x:c r="E30" s="13"/>
      <x:c r="F30" s="13"/>
      <x:c r="G30" s="13"/>
      <x:c r="H30" s="13"/>
      <x:c r="I30" s="2"/>
      <x:c r="J30" s="2"/>
      <x:c r="K30" s="2"/>
      <x:c r="L30" s="2"/>
    </x:row>
    <x:row r="31" ht="24" customHeight="1">
      <x:c r="A31" s="13"/>
      <x:c r="B31" s="13"/>
      <x:c r="C31" s="13"/>
      <x:c r="D31" s="13"/>
      <x:c r="E31" s="13"/>
      <x:c r="F31" s="13"/>
      <x:c r="G31" s="13"/>
      <x:c r="H31" s="13"/>
      <x:c r="I31" s="2"/>
      <x:c r="J31" s="2"/>
      <x:c r="K31" s="2"/>
      <x:c r="L31" s="2"/>
    </x:row>
    <x:row r="32" ht="24" customHeight="1">
      <x:c r="A32" s="13"/>
      <x:c r="B32" s="13"/>
      <x:c r="C32" s="13"/>
      <x:c r="D32" s="13"/>
      <x:c r="E32" s="13"/>
      <x:c r="F32" s="13"/>
      <x:c r="G32" s="13"/>
      <x:c r="H32" s="13"/>
      <x:c r="I32" s="2"/>
      <x:c r="J32" s="2"/>
      <x:c r="K32" s="2"/>
      <x:c r="L32" s="2"/>
    </x:row>
    <x:row r="33" ht="24" customHeight="1">
      <x:c r="A33" s="13"/>
      <x:c r="B33" s="13"/>
      <x:c r="C33" s="13"/>
      <x:c r="D33" s="13"/>
      <x:c r="E33" s="13"/>
      <x:c r="F33" s="13"/>
      <x:c r="G33" s="13"/>
      <x:c r="H33" s="13"/>
      <x:c r="I33" s="2"/>
      <x:c r="J33" s="2"/>
      <x:c r="K33" s="2"/>
      <x:c r="L33" s="2"/>
    </x:row>
    <x:row r="34" ht="24" customHeight="1">
      <x:c r="A34" s="13"/>
      <x:c r="B34" s="13"/>
      <x:c r="C34" s="13"/>
      <x:c r="D34" s="13"/>
      <x:c r="E34" s="13"/>
      <x:c r="F34" s="13"/>
      <x:c r="G34" s="13"/>
      <x:c r="H34" s="13"/>
      <x:c r="I34" s="2"/>
      <x:c r="J34" s="2"/>
      <x:c r="K34" s="2"/>
      <x:c r="L34" s="2"/>
    </x:row>
    <x:row r="35" ht="24" customHeight="1">
      <x:c r="A35" s="13"/>
      <x:c r="B35" s="13"/>
      <x:c r="C35" s="13"/>
      <x:c r="D35" s="13"/>
      <x:c r="E35" s="13"/>
      <x:c r="F35" s="13"/>
      <x:c r="G35" s="13"/>
      <x:c r="H35" s="13"/>
      <x:c r="I35" s="2"/>
      <x:c r="J35" s="2"/>
      <x:c r="K35" s="2"/>
      <x:c r="L35" s="2"/>
    </x:row>
    <x:row r="36" ht="24" customHeight="1">
      <x:c r="A36" s="13"/>
      <x:c r="B36" s="13"/>
      <x:c r="C36" s="13"/>
      <x:c r="D36" s="13"/>
      <x:c r="E36" s="13"/>
      <x:c r="F36" s="13"/>
      <x:c r="G36" s="13"/>
      <x:c r="H36" s="13"/>
      <x:c r="I36" s="2"/>
      <x:c r="J36" s="2"/>
      <x:c r="K36" s="2"/>
      <x:c r="L36" s="2"/>
    </x:row>
    <x:row r="37" ht="24" customHeight="1">
      <x:c r="A37" s="13"/>
      <x:c r="B37" s="13"/>
      <x:c r="C37" s="13"/>
      <x:c r="D37" s="13"/>
      <x:c r="E37" s="13"/>
      <x:c r="F37" s="13"/>
      <x:c r="G37" s="13"/>
      <x:c r="H37" s="13"/>
      <x:c r="I37" s="2"/>
      <x:c r="J37" s="2"/>
      <x:c r="K37" s="2"/>
      <x:c r="L37" s="2"/>
    </x:row>
    <x:row r="38" ht="24" customHeight="1">
      <x:c r="A38" s="13"/>
      <x:c r="B38" s="13"/>
      <x:c r="C38" s="13"/>
      <x:c r="D38" s="13"/>
      <x:c r="E38" s="13"/>
      <x:c r="F38" s="13"/>
      <x:c r="G38" s="13"/>
      <x:c r="H38" s="13"/>
      <x:c r="I38" s="2"/>
      <x:c r="J38" s="2"/>
      <x:c r="K38" s="2"/>
      <x:c r="L38" s="2"/>
    </x:row>
    <x:row r="39" ht="24" customHeight="1">
      <x:c r="A39" s="13"/>
      <x:c r="B39" s="13"/>
      <x:c r="C39" s="13"/>
      <x:c r="D39" s="13"/>
      <x:c r="E39" s="13"/>
      <x:c r="F39" s="13"/>
      <x:c r="G39" s="13"/>
      <x:c r="H39" s="13"/>
      <x:c r="I39" s="2"/>
      <x:c r="J39" s="2"/>
      <x:c r="K39" s="2"/>
      <x:c r="L39" s="2"/>
    </x:row>
    <x:row r="40" ht="24" customHeight="1">
      <x:c r="A40" s="13"/>
      <x:c r="B40" s="13"/>
      <x:c r="C40" s="13"/>
      <x:c r="D40" s="13"/>
      <x:c r="E40" s="13"/>
      <x:c r="F40" s="13"/>
      <x:c r="G40" s="13"/>
      <x:c r="H40" s="13"/>
      <x:c r="I40" s="2"/>
      <x:c r="J40" s="2"/>
      <x:c r="K40" s="2"/>
      <x:c r="L40" s="2"/>
    </x:row>
    <x:row r="41" ht="24" customHeight="1">
      <x:c r="A41" s="13"/>
      <x:c r="B41" s="13"/>
      <x:c r="C41" s="13"/>
      <x:c r="D41" s="13"/>
      <x:c r="E41" s="13"/>
      <x:c r="F41" s="13"/>
      <x:c r="G41" s="13"/>
      <x:c r="H41" s="13"/>
      <x:c r="I41" s="2"/>
      <x:c r="J41" s="2"/>
      <x:c r="K41" s="2"/>
      <x:c r="L41" s="2"/>
    </x:row>
    <x:row r="42" ht="24" customHeight="1">
      <x:c r="A42" s="13"/>
      <x:c r="B42" s="13"/>
      <x:c r="C42" s="13"/>
      <x:c r="D42" s="13"/>
      <x:c r="E42" s="13"/>
      <x:c r="F42" s="13"/>
      <x:c r="G42" s="13"/>
      <x:c r="H42" s="13"/>
      <x:c r="I42" s="2"/>
      <x:c r="J42" s="2"/>
      <x:c r="K42" s="2"/>
      <x:c r="L42" s="2"/>
    </x:row>
    <x:row r="43" ht="24" customHeight="1">
      <x:c r="A43" s="13"/>
      <x:c r="B43" s="13"/>
      <x:c r="C43" s="13"/>
      <x:c r="D43" s="13"/>
      <x:c r="E43" s="13"/>
      <x:c r="F43" s="13"/>
      <x:c r="G43" s="13"/>
      <x:c r="H43" s="13"/>
      <x:c r="I43" s="2"/>
      <x:c r="J43" s="2"/>
      <x:c r="K43" s="2"/>
      <x:c r="L43" s="2"/>
    </x:row>
    <x:row r="44" ht="24" customHeight="1">
      <x:c r="A44" s="13"/>
      <x:c r="B44" s="13"/>
      <x:c r="C44" s="13"/>
      <x:c r="D44" s="13"/>
      <x:c r="E44" s="13"/>
      <x:c r="F44" s="13"/>
      <x:c r="G44" s="13"/>
      <x:c r="H44" s="13"/>
      <x:c r="I44" s="2"/>
      <x:c r="J44" s="2"/>
      <x:c r="K44" s="2"/>
      <x:c r="L44" s="2"/>
    </x:row>
    <x:row r="45" ht="24" customHeight="1">
      <x:c r="A45" s="13"/>
      <x:c r="B45" s="13"/>
      <x:c r="C45" s="13"/>
      <x:c r="D45" s="13"/>
      <x:c r="E45" s="13"/>
      <x:c r="F45" s="13"/>
      <x:c r="G45" s="13"/>
      <x:c r="H45" s="13"/>
      <x:c r="I45" s="2"/>
      <x:c r="J45" s="2"/>
      <x:c r="K45" s="2"/>
      <x:c r="L45" s="2"/>
    </x:row>
    <x:row r="46" ht="24" customHeight="1">
      <x:c r="A46" s="13"/>
      <x:c r="B46" s="13"/>
      <x:c r="C46" s="13"/>
      <x:c r="D46" s="13"/>
      <x:c r="E46" s="13"/>
      <x:c r="F46" s="13"/>
      <x:c r="G46" s="13"/>
      <x:c r="H46" s="13"/>
      <x:c r="I46" s="2"/>
      <x:c r="J46" s="2"/>
      <x:c r="K46" s="2"/>
      <x:c r="L46" s="2"/>
    </x:row>
    <x:row r="47" ht="24" customHeight="1">
      <x:c r="A47" s="13"/>
      <x:c r="B47" s="13"/>
      <x:c r="C47" s="13"/>
      <x:c r="D47" s="13"/>
      <x:c r="E47" s="13"/>
      <x:c r="F47" s="13"/>
      <x:c r="G47" s="13"/>
      <x:c r="H47" s="13"/>
      <x:c r="I47" s="2"/>
      <x:c r="J47" s="2"/>
      <x:c r="K47" s="2"/>
      <x:c r="L47" s="2"/>
    </x:row>
    <x:row r="48" ht="24" customHeight="1">
      <x:c r="A48" s="13"/>
      <x:c r="B48" s="13"/>
      <x:c r="C48" s="13"/>
      <x:c r="D48" s="13"/>
      <x:c r="E48" s="13"/>
      <x:c r="F48" s="13"/>
      <x:c r="G48" s="13"/>
      <x:c r="H48" s="13"/>
      <x:c r="I48" s="2"/>
      <x:c r="J48" s="2"/>
      <x:c r="K48" s="2"/>
      <x:c r="L48" s="2"/>
    </x:row>
    <x:row r="49" ht="24" customHeight="1">
      <x:c r="A49" s="13"/>
      <x:c r="B49" s="13"/>
      <x:c r="C49" s="13"/>
      <x:c r="D49" s="13"/>
      <x:c r="E49" s="13"/>
      <x:c r="F49" s="13"/>
      <x:c r="G49" s="13"/>
      <x:c r="H49" s="13"/>
      <x:c r="I49" s="2"/>
      <x:c r="J49" s="2"/>
      <x:c r="K49" s="2"/>
      <x:c r="L49" s="2"/>
    </x:row>
    <x:row r="50" ht="24" customHeight="1">
      <x:c r="A50" s="13"/>
      <x:c r="B50" s="13"/>
      <x:c r="C50" s="13"/>
      <x:c r="D50" s="13"/>
      <x:c r="E50" s="13"/>
      <x:c r="F50" s="13"/>
      <x:c r="G50" s="13"/>
      <x:c r="H50" s="13"/>
      <x:c r="I50" s="2"/>
      <x:c r="J50" s="2"/>
      <x:c r="K50" s="2"/>
      <x:c r="L50" s="2"/>
    </x:row>
    <x:row r="51" ht="24" customHeight="1">
      <x:c r="A51" s="13"/>
      <x:c r="B51" s="13"/>
      <x:c r="C51" s="13"/>
      <x:c r="D51" s="13"/>
      <x:c r="E51" s="13"/>
      <x:c r="F51" s="13"/>
      <x:c r="G51" s="13"/>
      <x:c r="H51" s="13"/>
      <x:c r="I51" s="2"/>
      <x:c r="J51" s="2"/>
      <x:c r="K51" s="2"/>
      <x:c r="L51" s="2"/>
    </x:row>
    <x:row r="52" ht="24" customHeight="1">
      <x:c r="A52" s="13"/>
      <x:c r="B52" s="13"/>
      <x:c r="C52" s="13"/>
      <x:c r="D52" s="13"/>
      <x:c r="E52" s="13"/>
      <x:c r="F52" s="13"/>
      <x:c r="G52" s="13"/>
      <x:c r="H52" s="13"/>
      <x:c r="I52" s="2"/>
      <x:c r="J52" s="2"/>
      <x:c r="K52" s="2"/>
      <x:c r="L52" s="2"/>
    </x:row>
    <x:row r="53" ht="24" customHeight="1">
      <x:c r="A53" s="13"/>
      <x:c r="B53" s="13"/>
      <x:c r="C53" s="13"/>
      <x:c r="D53" s="13"/>
      <x:c r="E53" s="13"/>
      <x:c r="F53" s="13"/>
      <x:c r="G53" s="13"/>
      <x:c r="H53" s="13"/>
      <x:c r="I53" s="2"/>
      <x:c r="J53" s="2"/>
      <x:c r="K53" s="2"/>
      <x:c r="L53" s="2"/>
    </x:row>
    <x:row r="54" ht="24" customHeight="1">
      <x:c r="A54" s="13"/>
      <x:c r="B54" s="13"/>
      <x:c r="C54" s="13"/>
      <x:c r="D54" s="13"/>
      <x:c r="E54" s="13"/>
      <x:c r="F54" s="13"/>
      <x:c r="G54" s="13"/>
      <x:c r="H54" s="13"/>
      <x:c r="I54" s="2"/>
      <x:c r="J54" s="2"/>
      <x:c r="K54" s="2"/>
      <x:c r="L54" s="2"/>
    </x:row>
    <x:row r="55" ht="24" customHeight="1">
      <x:c r="A55" s="13"/>
      <x:c r="B55" s="13"/>
      <x:c r="C55" s="13"/>
      <x:c r="D55" s="13"/>
      <x:c r="E55" s="13"/>
      <x:c r="F55" s="13"/>
      <x:c r="G55" s="13"/>
      <x:c r="H55" s="13"/>
      <x:c r="I55" s="2"/>
      <x:c r="J55" s="2"/>
      <x:c r="K55" s="2"/>
      <x:c r="L55" s="2"/>
    </x:row>
    <x:row r="56" ht="24" customHeight="1">
      <x:c r="A56" s="13"/>
      <x:c r="B56" s="13"/>
      <x:c r="C56" s="13"/>
      <x:c r="D56" s="13"/>
      <x:c r="E56" s="13"/>
      <x:c r="F56" s="13"/>
      <x:c r="G56" s="13"/>
      <x:c r="H56" s="13"/>
      <x:c r="I56" s="2"/>
      <x:c r="J56" s="2"/>
      <x:c r="K56" s="2"/>
      <x:c r="L56" s="2"/>
    </x:row>
    <x:row r="57" ht="24" customHeight="1">
      <x:c r="A57" s="13"/>
      <x:c r="B57" s="13"/>
      <x:c r="C57" s="13"/>
      <x:c r="D57" s="13"/>
      <x:c r="E57" s="13"/>
      <x:c r="F57" s="13"/>
      <x:c r="G57" s="13"/>
      <x:c r="H57" s="13"/>
      <x:c r="I57" s="2"/>
      <x:c r="J57" s="2"/>
      <x:c r="K57" s="2"/>
      <x:c r="L57" s="2"/>
    </x:row>
    <x:row r="58" ht="24" customHeight="1">
      <x:c r="A58" s="13"/>
      <x:c r="B58" s="13"/>
      <x:c r="C58" s="13"/>
      <x:c r="D58" s="13"/>
      <x:c r="E58" s="13"/>
      <x:c r="F58" s="13"/>
      <x:c r="G58" s="13"/>
      <x:c r="H58" s="13"/>
      <x:c r="I58" s="2"/>
      <x:c r="J58" s="2"/>
      <x:c r="K58" s="2"/>
      <x:c r="L58" s="2"/>
    </x:row>
    <x:row r="59" ht="24" customHeight="1">
      <x:c r="A59" s="13"/>
      <x:c r="B59" s="13"/>
      <x:c r="C59" s="13"/>
      <x:c r="D59" s="13"/>
      <x:c r="E59" s="13"/>
      <x:c r="F59" s="13"/>
      <x:c r="G59" s="13"/>
      <x:c r="H59" s="13"/>
      <x:c r="I59" s="2"/>
      <x:c r="J59" s="2"/>
      <x:c r="K59" s="2"/>
      <x:c r="L59" s="2"/>
    </x:row>
    <x:row r="60" ht="24" customHeight="1">
      <x:c r="A60" s="13"/>
      <x:c r="B60" s="13"/>
      <x:c r="C60" s="13"/>
      <x:c r="D60" s="13"/>
      <x:c r="E60" s="13"/>
      <x:c r="F60" s="13"/>
      <x:c r="G60" s="13"/>
      <x:c r="H60" s="13"/>
      <x:c r="I60" s="2"/>
      <x:c r="J60" s="2"/>
      <x:c r="K60" s="2"/>
      <x:c r="L60" s="2"/>
    </x:row>
    <x:row r="61" ht="24" customHeight="1">
      <x:c r="A61" s="13"/>
      <x:c r="B61" s="13"/>
      <x:c r="C61" s="13"/>
      <x:c r="D61" s="13"/>
      <x:c r="E61" s="13"/>
      <x:c r="F61" s="13"/>
      <x:c r="G61" s="13"/>
      <x:c r="H61" s="13"/>
      <x:c r="I61" s="2"/>
      <x:c r="J61" s="2"/>
      <x:c r="K61" s="2"/>
      <x:c r="L61" s="2"/>
    </x:row>
    <x:row r="62" ht="24" customHeight="1">
      <x:c r="A62" s="13"/>
      <x:c r="B62" s="13"/>
      <x:c r="C62" s="13"/>
      <x:c r="D62" s="13"/>
      <x:c r="E62" s="13"/>
      <x:c r="F62" s="13"/>
      <x:c r="G62" s="13"/>
      <x:c r="H62" s="13"/>
      <x:c r="I62" s="2"/>
      <x:c r="J62" s="2"/>
      <x:c r="K62" s="2"/>
      <x:c r="L62" s="2"/>
    </x:row>
    <x:row r="63" ht="24" customHeight="1">
      <x:c r="A63" s="13"/>
      <x:c r="B63" s="13"/>
      <x:c r="C63" s="13"/>
      <x:c r="D63" s="13"/>
      <x:c r="E63" s="13"/>
      <x:c r="F63" s="13"/>
      <x:c r="G63" s="13"/>
      <x:c r="H63" s="13"/>
      <x:c r="I63" s="2"/>
      <x:c r="J63" s="2"/>
      <x:c r="K63" s="2"/>
      <x:c r="L63" s="2"/>
    </x:row>
    <x:row r="64" ht="24" customHeight="1">
      <x:c r="A64" s="13"/>
      <x:c r="B64" s="13"/>
      <x:c r="C64" s="13"/>
      <x:c r="D64" s="13"/>
      <x:c r="E64" s="13"/>
      <x:c r="F64" s="13"/>
      <x:c r="G64" s="13"/>
      <x:c r="H64" s="13"/>
      <x:c r="I64" s="2"/>
      <x:c r="J64" s="2"/>
      <x:c r="K64" s="2"/>
      <x:c r="L64" s="2"/>
    </x:row>
    <x:row r="65" ht="24" customHeight="1">
      <x:c r="A65" s="13"/>
      <x:c r="B65" s="13"/>
      <x:c r="C65" s="13"/>
      <x:c r="D65" s="13"/>
      <x:c r="E65" s="13"/>
      <x:c r="F65" s="13"/>
      <x:c r="G65" s="13"/>
      <x:c r="H65" s="13"/>
      <x:c r="I65" s="2"/>
      <x:c r="J65" s="2"/>
      <x:c r="K65" s="2"/>
      <x:c r="L65" s="2"/>
    </x:row>
    <x:row r="66" ht="24" customHeight="1">
      <x:c r="A66" s="13"/>
      <x:c r="B66" s="13"/>
      <x:c r="C66" s="13"/>
      <x:c r="D66" s="13"/>
      <x:c r="E66" s="13"/>
      <x:c r="F66" s="13"/>
      <x:c r="G66" s="13"/>
      <x:c r="H66" s="13"/>
      <x:c r="I66" s="2"/>
      <x:c r="J66" s="2"/>
      <x:c r="K66" s="2"/>
      <x:c r="L66" s="2"/>
    </x:row>
    <x:row r="67" ht="24" customHeight="1">
      <x:c r="A67" s="13"/>
      <x:c r="B67" s="13"/>
      <x:c r="C67" s="13"/>
      <x:c r="D67" s="13"/>
      <x:c r="E67" s="13"/>
      <x:c r="F67" s="13"/>
      <x:c r="G67" s="13"/>
      <x:c r="H67" s="13"/>
      <x:c r="I67" s="2"/>
      <x:c r="J67" s="2"/>
      <x:c r="K67" s="2"/>
      <x:c r="L67" s="2"/>
    </x:row>
    <x:row r="68" ht="24" customHeight="1">
      <x:c r="A68" s="13"/>
      <x:c r="B68" s="13"/>
      <x:c r="C68" s="13"/>
      <x:c r="D68" s="13"/>
      <x:c r="E68" s="13"/>
      <x:c r="F68" s="13"/>
      <x:c r="G68" s="13"/>
      <x:c r="H68" s="13"/>
      <x:c r="I68" s="2"/>
      <x:c r="J68" s="2"/>
      <x:c r="K68" s="2"/>
      <x:c r="L68" s="2"/>
    </x:row>
    <x:row r="69" ht="24" customHeight="1">
      <x:c r="A69" s="13"/>
      <x:c r="B69" s="13"/>
      <x:c r="C69" s="13"/>
      <x:c r="D69" s="13"/>
      <x:c r="E69" s="13"/>
      <x:c r="F69" s="13"/>
      <x:c r="G69" s="13"/>
      <x:c r="H69" s="13"/>
      <x:c r="I69" s="2"/>
      <x:c r="J69" s="2"/>
      <x:c r="K69" s="2"/>
      <x:c r="L69" s="2"/>
    </x:row>
    <x:row r="70" ht="24" customHeight="1">
      <x:c r="A70" s="13"/>
      <x:c r="B70" s="13"/>
      <x:c r="C70" s="13"/>
      <x:c r="D70" s="13"/>
      <x:c r="E70" s="13"/>
      <x:c r="F70" s="13"/>
      <x:c r="G70" s="13"/>
      <x:c r="H70" s="13"/>
      <x:c r="I70" s="2"/>
      <x:c r="J70" s="2"/>
      <x:c r="K70" s="2"/>
      <x:c r="L70" s="2"/>
    </x:row>
    <x:row r="71" ht="24" customHeight="1">
      <x:c r="A71" s="13"/>
      <x:c r="B71" s="13"/>
      <x:c r="C71" s="13"/>
      <x:c r="D71" s="13"/>
      <x:c r="E71" s="13"/>
      <x:c r="F71" s="13"/>
      <x:c r="G71" s="13"/>
      <x:c r="H71" s="13"/>
      <x:c r="I71" s="2"/>
      <x:c r="J71" s="2"/>
      <x:c r="K71" s="2"/>
      <x:c r="L71" s="2"/>
    </x:row>
    <x:row r="72" ht="24" customHeight="1">
      <x:c r="A72" s="13"/>
      <x:c r="B72" s="13"/>
      <x:c r="C72" s="13"/>
      <x:c r="D72" s="13"/>
      <x:c r="E72" s="13"/>
      <x:c r="F72" s="13"/>
      <x:c r="G72" s="13"/>
      <x:c r="H72" s="13"/>
      <x:c r="I72" s="2"/>
      <x:c r="J72" s="2"/>
      <x:c r="K72" s="2"/>
      <x:c r="L72" s="2"/>
    </x:row>
    <x:row r="73" ht="24" customHeight="1">
      <x:c r="A73" s="13"/>
      <x:c r="B73" s="13"/>
      <x:c r="C73" s="13"/>
      <x:c r="D73" s="13"/>
      <x:c r="E73" s="13"/>
      <x:c r="F73" s="13"/>
      <x:c r="G73" s="13"/>
      <x:c r="H73" s="13"/>
      <x:c r="I73" s="2"/>
      <x:c r="J73" s="2"/>
      <x:c r="K73" s="2"/>
      <x:c r="L73" s="2"/>
    </x:row>
    <x:row r="74" ht="24" customHeight="1">
      <x:c r="A74" s="13"/>
      <x:c r="B74" s="13"/>
      <x:c r="C74" s="13"/>
      <x:c r="D74" s="13"/>
      <x:c r="E74" s="13"/>
      <x:c r="F74" s="13"/>
      <x:c r="G74" s="13"/>
      <x:c r="H74" s="13"/>
      <x:c r="I74" s="2"/>
      <x:c r="J74" s="2"/>
      <x:c r="K74" s="2"/>
      <x:c r="L74" s="2"/>
    </x:row>
    <x:row r="75" ht="24" customHeight="1">
      <x:c r="A75" s="13"/>
      <x:c r="B75" s="13"/>
      <x:c r="C75" s="13"/>
      <x:c r="D75" s="13"/>
      <x:c r="E75" s="13"/>
      <x:c r="F75" s="13"/>
      <x:c r="G75" s="13"/>
      <x:c r="H75" s="13"/>
      <x:c r="I75" s="2"/>
      <x:c r="J75" s="2"/>
      <x:c r="K75" s="2"/>
      <x:c r="L75" s="2"/>
    </x:row>
  </x:sheetData>
  <x:dataValidations count="2">
    <x:dataValidation type="list" sqref="C16:C75">
      <x:formula1>"Yes,No"</x:formula1>
    </x:dataValidation>
    <x:dataValidation type="list" sqref="F16:G75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.670000076293945" hidden="0" customWidth="1"/>
    <x:col min="2" max="2" width="13.329999923706055" hidden="0" customWidth="1"/>
    <x:col min="3" max="3" width="13.890000343322754" hidden="0" customWidth="1"/>
    <x:col min="4" max="4" width="13.329999923706055" hidden="0" customWidth="1"/>
    <x:col min="5" max="5" width="13.890000343322754" hidden="0" customWidth="1"/>
    <x:col min="6" max="6" width="13.329999923706055" hidden="0" customWidth="1"/>
    <x:col min="7" max="7" width="13.890000343322754" hidden="0" customWidth="1"/>
    <x:col min="8" max="8" width="15.5600004196167" hidden="0" customWidth="1"/>
    <x:col min="9" max="9" width="28.88999938964843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20-spine comparison sample — not collected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2" t="str">
        <x:v>Choose physical IDs independently; system values are looked up only after matching an ID.</x:v>
      </x:c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8" t="str">
        <x:v>Matched system ID</x:v>
      </x:c>
      <x:c r="B5" s="8" t="str">
        <x:v>True height (cm)</x:v>
      </x:c>
      <x:c r="C5" s="8" t="str">
        <x:v>True thickness (cm)</x:v>
      </x:c>
      <x:c r="D5" s="8" t="str">
        <x:v>System height (cm)</x:v>
      </x:c>
      <x:c r="E5" s="8" t="str">
        <x:v>System thickness (cm)</x:v>
      </x:c>
      <x:c r="F5" s="8" t="str">
        <x:v>Height rel. error</x:v>
      </x:c>
      <x:c r="G5" s="8" t="str">
        <x:v>Thickness rel. error</x:v>
      </x:c>
      <x:c r="H5" s="8" t="str">
        <x:v>Physical ID</x:v>
      </x:c>
      <x:c r="I5" s="8" t="str">
        <x:v>Human measurement notes</x:v>
      </x:c>
    </x:row>
    <x:row r="6" ht="24" customHeight="1">
      <x:c r="A6" s="13"/>
      <x:c r="B6" s="21"/>
      <x:c r="C6" s="21"/>
      <x:c r="D6" s="15" t="str">
        <x:f>IF(A6="","",IF(COUNTIFS(Books!$A$6:$A$8,A6)=0,"Unknown ID",IF(COUNTIFS(Books!$A$6:$A$8,A6,Books!$E$6:$E$8,"&gt;0")=0,"Unavailable",VLOOKUP(A6,Books!$A$6:$H$8,5,FALSE))))</x:f>
      </x:c>
      <x:c r="E6" s="15" t="str">
        <x:f>IF(A6="","",IF(COUNTIFS(Books!$A$6:$A$8,A6)=0,"Unknown ID",IF(COUNTIFS(Books!$A$6:$A$8,A6,Books!$F$6:$F$8,"&gt;0")=0,"Unavailable",VLOOKUP(A6,Books!$A$6:$H$8,6,FALSE))))</x:f>
      </x:c>
      <x:c r="F6" s="10" t="str">
        <x:f>IF(OR(B6="",B6&lt;=0,NOT(ISNUMBER(D6))),"Unverified",ABS(D6-B6)/B6)</x:f>
        <x:v>Unverified</x:v>
      </x:c>
      <x:c r="G6" s="10" t="str">
        <x:f>IF(OR(C6="",C6&lt;=0,NOT(ISNUMBER(E6))),"Unverified",ABS(E6-C6)/C6)</x:f>
        <x:v>Unverified</x:v>
      </x:c>
      <x:c r="H6" s="13"/>
      <x:c r="I6" s="13"/>
    </x:row>
    <x:row r="7" ht="24" customHeight="1">
      <x:c r="A7" s="13"/>
      <x:c r="B7" s="21"/>
      <x:c r="C7" s="21"/>
      <x:c r="D7" s="15" t="str">
        <x:f>IF(A7="","",IF(COUNTIFS(Books!$A$6:$A$8,A7)=0,"Unknown ID",IF(COUNTIFS(Books!$A$6:$A$8,A7,Books!$E$6:$E$8,"&gt;0")=0,"Unavailable",VLOOKUP(A7,Books!$A$6:$H$8,5,FALSE))))</x:f>
      </x:c>
      <x:c r="E7" s="15" t="str">
        <x:f>IF(A7="","",IF(COUNTIFS(Books!$A$6:$A$8,A7)=0,"Unknown ID",IF(COUNTIFS(Books!$A$6:$A$8,A7,Books!$F$6:$F$8,"&gt;0")=0,"Unavailable",VLOOKUP(A7,Books!$A$6:$H$8,6,FALSE))))</x:f>
      </x:c>
      <x:c r="F7" s="10" t="str">
        <x:f>IF(OR(B7="",B7&lt;=0,NOT(ISNUMBER(D7))),"Unverified",ABS(D7-B7)/B7)</x:f>
        <x:v>Unverified</x:v>
      </x:c>
      <x:c r="G7" s="10" t="str">
        <x:f>IF(OR(C7="",C7&lt;=0,NOT(ISNUMBER(E7))),"Unverified",ABS(E7-C7)/C7)</x:f>
        <x:v>Unverified</x:v>
      </x:c>
      <x:c r="H7" s="13"/>
      <x:c r="I7" s="13"/>
    </x:row>
    <x:row r="8" ht="24" customHeight="1">
      <x:c r="A8" s="13"/>
      <x:c r="B8" s="21"/>
      <x:c r="C8" s="21"/>
      <x:c r="D8" s="15" t="str">
        <x:f>IF(A8="","",IF(COUNTIFS(Books!$A$6:$A$8,A8)=0,"Unknown ID",IF(COUNTIFS(Books!$A$6:$A$8,A8,Books!$E$6:$E$8,"&gt;0")=0,"Unavailable",VLOOKUP(A8,Books!$A$6:$H$8,5,FALSE))))</x:f>
      </x:c>
      <x:c r="E8" s="15" t="str">
        <x:f>IF(A8="","",IF(COUNTIFS(Books!$A$6:$A$8,A8)=0,"Unknown ID",IF(COUNTIFS(Books!$A$6:$A$8,A8,Books!$F$6:$F$8,"&gt;0")=0,"Unavailable",VLOOKUP(A8,Books!$A$6:$H$8,6,FALSE))))</x:f>
      </x:c>
      <x:c r="F8" s="10" t="str">
        <x:f>IF(OR(B8="",B8&lt;=0,NOT(ISNUMBER(D8))),"Unverified",ABS(D8-B8)/B8)</x:f>
        <x:v>Unverified</x:v>
      </x:c>
      <x:c r="G8" s="10" t="str">
        <x:f>IF(OR(C8="",C8&lt;=0,NOT(ISNUMBER(E8))),"Unverified",ABS(E8-C8)/C8)</x:f>
        <x:v>Unverified</x:v>
      </x:c>
      <x:c r="H8" s="13"/>
      <x:c r="I8" s="13"/>
    </x:row>
    <x:row r="9" ht="24" customHeight="1">
      <x:c r="A9" s="13"/>
      <x:c r="B9" s="21"/>
      <x:c r="C9" s="21"/>
      <x:c r="D9" s="15" t="str">
        <x:f>IF(A9="","",IF(COUNTIFS(Books!$A$6:$A$8,A9)=0,"Unknown ID",IF(COUNTIFS(Books!$A$6:$A$8,A9,Books!$E$6:$E$8,"&gt;0")=0,"Unavailable",VLOOKUP(A9,Books!$A$6:$H$8,5,FALSE))))</x:f>
      </x:c>
      <x:c r="E9" s="15" t="str">
        <x:f>IF(A9="","",IF(COUNTIFS(Books!$A$6:$A$8,A9)=0,"Unknown ID",IF(COUNTIFS(Books!$A$6:$A$8,A9,Books!$F$6:$F$8,"&gt;0")=0,"Unavailable",VLOOKUP(A9,Books!$A$6:$H$8,6,FALSE))))</x:f>
      </x:c>
      <x:c r="F9" s="10" t="str">
        <x:f>IF(OR(B9="",B9&lt;=0,NOT(ISNUMBER(D9))),"Unverified",ABS(D9-B9)/B9)</x:f>
        <x:v>Unverified</x:v>
      </x:c>
      <x:c r="G9" s="10" t="str">
        <x:f>IF(OR(C9="",C9&lt;=0,NOT(ISNUMBER(E9))),"Unverified",ABS(E9-C9)/C9)</x:f>
        <x:v>Unverified</x:v>
      </x:c>
      <x:c r="H9" s="13"/>
      <x:c r="I9" s="13"/>
    </x:row>
    <x:row r="10" ht="24" customHeight="1">
      <x:c r="A10" s="13"/>
      <x:c r="B10" s="21"/>
      <x:c r="C10" s="21"/>
      <x:c r="D10" s="15" t="str">
        <x:f>IF(A10="","",IF(COUNTIFS(Books!$A$6:$A$8,A10)=0,"Unknown ID",IF(COUNTIFS(Books!$A$6:$A$8,A10,Books!$E$6:$E$8,"&gt;0")=0,"Unavailable",VLOOKUP(A10,Books!$A$6:$H$8,5,FALSE))))</x:f>
      </x:c>
      <x:c r="E10" s="15" t="str">
        <x:f>IF(A10="","",IF(COUNTIFS(Books!$A$6:$A$8,A10)=0,"Unknown ID",IF(COUNTIFS(Books!$A$6:$A$8,A10,Books!$F$6:$F$8,"&gt;0")=0,"Unavailable",VLOOKUP(A10,Books!$A$6:$H$8,6,FALSE))))</x:f>
      </x:c>
      <x:c r="F10" s="10" t="str">
        <x:f>IF(OR(B10="",B10&lt;=0,NOT(ISNUMBER(D10))),"Unverified",ABS(D10-B10)/B10)</x:f>
        <x:v>Unverified</x:v>
      </x:c>
      <x:c r="G10" s="10" t="str">
        <x:f>IF(OR(C10="",C10&lt;=0,NOT(ISNUMBER(E10))),"Unverified",ABS(E10-C10)/C10)</x:f>
        <x:v>Unverified</x:v>
      </x:c>
      <x:c r="H10" s="13"/>
      <x:c r="I10" s="13"/>
    </x:row>
    <x:row r="11" ht="24" customHeight="1">
      <x:c r="A11" s="13"/>
      <x:c r="B11" s="21"/>
      <x:c r="C11" s="21"/>
      <x:c r="D11" s="15" t="str">
        <x:f>IF(A11="","",IF(COUNTIFS(Books!$A$6:$A$8,A11)=0,"Unknown ID",IF(COUNTIFS(Books!$A$6:$A$8,A11,Books!$E$6:$E$8,"&gt;0")=0,"Unavailable",VLOOKUP(A11,Books!$A$6:$H$8,5,FALSE))))</x:f>
      </x:c>
      <x:c r="E11" s="15" t="str">
        <x:f>IF(A11="","",IF(COUNTIFS(Books!$A$6:$A$8,A11)=0,"Unknown ID",IF(COUNTIFS(Books!$A$6:$A$8,A11,Books!$F$6:$F$8,"&gt;0")=0,"Unavailable",VLOOKUP(A11,Books!$A$6:$H$8,6,FALSE))))</x:f>
      </x:c>
      <x:c r="F11" s="10" t="str">
        <x:f>IF(OR(B11="",B11&lt;=0,NOT(ISNUMBER(D11))),"Unverified",ABS(D11-B11)/B11)</x:f>
        <x:v>Unverified</x:v>
      </x:c>
      <x:c r="G11" s="10" t="str">
        <x:f>IF(OR(C11="",C11&lt;=0,NOT(ISNUMBER(E11))),"Unverified",ABS(E11-C11)/C11)</x:f>
        <x:v>Unverified</x:v>
      </x:c>
      <x:c r="H11" s="13"/>
      <x:c r="I11" s="13"/>
    </x:row>
    <x:row r="12" ht="24" customHeight="1">
      <x:c r="A12" s="13"/>
      <x:c r="B12" s="21"/>
      <x:c r="C12" s="21"/>
      <x:c r="D12" s="15" t="str">
        <x:f>IF(A12="","",IF(COUNTIFS(Books!$A$6:$A$8,A12)=0,"Unknown ID",IF(COUNTIFS(Books!$A$6:$A$8,A12,Books!$E$6:$E$8,"&gt;0")=0,"Unavailable",VLOOKUP(A12,Books!$A$6:$H$8,5,FALSE))))</x:f>
      </x:c>
      <x:c r="E12" s="15" t="str">
        <x:f>IF(A12="","",IF(COUNTIFS(Books!$A$6:$A$8,A12)=0,"Unknown ID",IF(COUNTIFS(Books!$A$6:$A$8,A12,Books!$F$6:$F$8,"&gt;0")=0,"Unavailable",VLOOKUP(A12,Books!$A$6:$H$8,6,FALSE))))</x:f>
      </x:c>
      <x:c r="F12" s="10" t="str">
        <x:f>IF(OR(B12="",B12&lt;=0,NOT(ISNUMBER(D12))),"Unverified",ABS(D12-B12)/B12)</x:f>
        <x:v>Unverified</x:v>
      </x:c>
      <x:c r="G12" s="10" t="str">
        <x:f>IF(OR(C12="",C12&lt;=0,NOT(ISNUMBER(E12))),"Unverified",ABS(E12-C12)/C12)</x:f>
        <x:v>Unverified</x:v>
      </x:c>
      <x:c r="H12" s="13"/>
      <x:c r="I12" s="13"/>
    </x:row>
    <x:row r="13" ht="24" customHeight="1">
      <x:c r="A13" s="13"/>
      <x:c r="B13" s="21"/>
      <x:c r="C13" s="21"/>
      <x:c r="D13" s="15" t="str">
        <x:f>IF(A13="","",IF(COUNTIFS(Books!$A$6:$A$8,A13)=0,"Unknown ID",IF(COUNTIFS(Books!$A$6:$A$8,A13,Books!$E$6:$E$8,"&gt;0")=0,"Unavailable",VLOOKUP(A13,Books!$A$6:$H$8,5,FALSE))))</x:f>
      </x:c>
      <x:c r="E13" s="15" t="str">
        <x:f>IF(A13="","",IF(COUNTIFS(Books!$A$6:$A$8,A13)=0,"Unknown ID",IF(COUNTIFS(Books!$A$6:$A$8,A13,Books!$F$6:$F$8,"&gt;0")=0,"Unavailable",VLOOKUP(A13,Books!$A$6:$H$8,6,FALSE))))</x:f>
      </x:c>
      <x:c r="F13" s="10" t="str">
        <x:f>IF(OR(B13="",B13&lt;=0,NOT(ISNUMBER(D13))),"Unverified",ABS(D13-B13)/B13)</x:f>
        <x:v>Unverified</x:v>
      </x:c>
      <x:c r="G13" s="10" t="str">
        <x:f>IF(OR(C13="",C13&lt;=0,NOT(ISNUMBER(E13))),"Unverified",ABS(E13-C13)/C13)</x:f>
        <x:v>Unverified</x:v>
      </x:c>
      <x:c r="H13" s="13"/>
      <x:c r="I13" s="13"/>
    </x:row>
    <x:row r="14" ht="24" customHeight="1">
      <x:c r="A14" s="13"/>
      <x:c r="B14" s="21"/>
      <x:c r="C14" s="21"/>
      <x:c r="D14" s="15" t="str">
        <x:f>IF(A14="","",IF(COUNTIFS(Books!$A$6:$A$8,A14)=0,"Unknown ID",IF(COUNTIFS(Books!$A$6:$A$8,A14,Books!$E$6:$E$8,"&gt;0")=0,"Unavailable",VLOOKUP(A14,Books!$A$6:$H$8,5,FALSE))))</x:f>
      </x:c>
      <x:c r="E14" s="15" t="str">
        <x:f>IF(A14="","",IF(COUNTIFS(Books!$A$6:$A$8,A14)=0,"Unknown ID",IF(COUNTIFS(Books!$A$6:$A$8,A14,Books!$F$6:$F$8,"&gt;0")=0,"Unavailable",VLOOKUP(A14,Books!$A$6:$H$8,6,FALSE))))</x:f>
      </x:c>
      <x:c r="F14" s="10" t="str">
        <x:f>IF(OR(B14="",B14&lt;=0,NOT(ISNUMBER(D14))),"Unverified",ABS(D14-B14)/B14)</x:f>
        <x:v>Unverified</x:v>
      </x:c>
      <x:c r="G14" s="10" t="str">
        <x:f>IF(OR(C14="",C14&lt;=0,NOT(ISNUMBER(E14))),"Unverified",ABS(E14-C14)/C14)</x:f>
        <x:v>Unverified</x:v>
      </x:c>
      <x:c r="H14" s="13"/>
      <x:c r="I14" s="13"/>
    </x:row>
    <x:row r="15" ht="24" customHeight="1">
      <x:c r="A15" s="13"/>
      <x:c r="B15" s="21"/>
      <x:c r="C15" s="21"/>
      <x:c r="D15" s="15" t="str">
        <x:f>IF(A15="","",IF(COUNTIFS(Books!$A$6:$A$8,A15)=0,"Unknown ID",IF(COUNTIFS(Books!$A$6:$A$8,A15,Books!$E$6:$E$8,"&gt;0")=0,"Unavailable",VLOOKUP(A15,Books!$A$6:$H$8,5,FALSE))))</x:f>
      </x:c>
      <x:c r="E15" s="15" t="str">
        <x:f>IF(A15="","",IF(COUNTIFS(Books!$A$6:$A$8,A15)=0,"Unknown ID",IF(COUNTIFS(Books!$A$6:$A$8,A15,Books!$F$6:$F$8,"&gt;0")=0,"Unavailable",VLOOKUP(A15,Books!$A$6:$H$8,6,FALSE))))</x:f>
      </x:c>
      <x:c r="F15" s="10" t="str">
        <x:f>IF(OR(B15="",B15&lt;=0,NOT(ISNUMBER(D15))),"Unverified",ABS(D15-B15)/B15)</x:f>
        <x:v>Unverified</x:v>
      </x:c>
      <x:c r="G15" s="10" t="str">
        <x:f>IF(OR(C15="",C15&lt;=0,NOT(ISNUMBER(E15))),"Unverified",ABS(E15-C15)/C15)</x:f>
        <x:v>Unverified</x:v>
      </x:c>
      <x:c r="H15" s="13"/>
      <x:c r="I15" s="13"/>
    </x:row>
    <x:row r="16" ht="24" customHeight="1">
      <x:c r="A16" s="13"/>
      <x:c r="B16" s="21"/>
      <x:c r="C16" s="21"/>
      <x:c r="D16" s="15" t="str">
        <x:f>IF(A16="","",IF(COUNTIFS(Books!$A$6:$A$8,A16)=0,"Unknown ID",IF(COUNTIFS(Books!$A$6:$A$8,A16,Books!$E$6:$E$8,"&gt;0")=0,"Unavailable",VLOOKUP(A16,Books!$A$6:$H$8,5,FALSE))))</x:f>
      </x:c>
      <x:c r="E16" s="15" t="str">
        <x:f>IF(A16="","",IF(COUNTIFS(Books!$A$6:$A$8,A16)=0,"Unknown ID",IF(COUNTIFS(Books!$A$6:$A$8,A16,Books!$F$6:$F$8,"&gt;0")=0,"Unavailable",VLOOKUP(A16,Books!$A$6:$H$8,6,FALSE))))</x:f>
      </x:c>
      <x:c r="F16" s="10" t="str">
        <x:f>IF(OR(B16="",B16&lt;=0,NOT(ISNUMBER(D16))),"Unverified",ABS(D16-B16)/B16)</x:f>
        <x:v>Unverified</x:v>
      </x:c>
      <x:c r="G16" s="10" t="str">
        <x:f>IF(OR(C16="",C16&lt;=0,NOT(ISNUMBER(E16))),"Unverified",ABS(E16-C16)/C16)</x:f>
        <x:v>Unverified</x:v>
      </x:c>
      <x:c r="H16" s="13"/>
      <x:c r="I16" s="13"/>
    </x:row>
    <x:row r="17" ht="24" customHeight="1">
      <x:c r="A17" s="13"/>
      <x:c r="B17" s="21"/>
      <x:c r="C17" s="21"/>
      <x:c r="D17" s="15" t="str">
        <x:f>IF(A17="","",IF(COUNTIFS(Books!$A$6:$A$8,A17)=0,"Unknown ID",IF(COUNTIFS(Books!$A$6:$A$8,A17,Books!$E$6:$E$8,"&gt;0")=0,"Unavailable",VLOOKUP(A17,Books!$A$6:$H$8,5,FALSE))))</x:f>
      </x:c>
      <x:c r="E17" s="15" t="str">
        <x:f>IF(A17="","",IF(COUNTIFS(Books!$A$6:$A$8,A17)=0,"Unknown ID",IF(COUNTIFS(Books!$A$6:$A$8,A17,Books!$F$6:$F$8,"&gt;0")=0,"Unavailable",VLOOKUP(A17,Books!$A$6:$H$8,6,FALSE))))</x:f>
      </x:c>
      <x:c r="F17" s="10" t="str">
        <x:f>IF(OR(B17="",B17&lt;=0,NOT(ISNUMBER(D17))),"Unverified",ABS(D17-B17)/B17)</x:f>
        <x:v>Unverified</x:v>
      </x:c>
      <x:c r="G17" s="10" t="str">
        <x:f>IF(OR(C17="",C17&lt;=0,NOT(ISNUMBER(E17))),"Unverified",ABS(E17-C17)/C17)</x:f>
        <x:v>Unverified</x:v>
      </x:c>
      <x:c r="H17" s="13"/>
      <x:c r="I17" s="13"/>
    </x:row>
    <x:row r="18" ht="24" customHeight="1">
      <x:c r="A18" s="13"/>
      <x:c r="B18" s="21"/>
      <x:c r="C18" s="21"/>
      <x:c r="D18" s="15" t="str">
        <x:f>IF(A18="","",IF(COUNTIFS(Books!$A$6:$A$8,A18)=0,"Unknown ID",IF(COUNTIFS(Books!$A$6:$A$8,A18,Books!$E$6:$E$8,"&gt;0")=0,"Unavailable",VLOOKUP(A18,Books!$A$6:$H$8,5,FALSE))))</x:f>
      </x:c>
      <x:c r="E18" s="15" t="str">
        <x:f>IF(A18="","",IF(COUNTIFS(Books!$A$6:$A$8,A18)=0,"Unknown ID",IF(COUNTIFS(Books!$A$6:$A$8,A18,Books!$F$6:$F$8,"&gt;0")=0,"Unavailable",VLOOKUP(A18,Books!$A$6:$H$8,6,FALSE))))</x:f>
      </x:c>
      <x:c r="F18" s="10" t="str">
        <x:f>IF(OR(B18="",B18&lt;=0,NOT(ISNUMBER(D18))),"Unverified",ABS(D18-B18)/B18)</x:f>
        <x:v>Unverified</x:v>
      </x:c>
      <x:c r="G18" s="10" t="str">
        <x:f>IF(OR(C18="",C18&lt;=0,NOT(ISNUMBER(E18))),"Unverified",ABS(E18-C18)/C18)</x:f>
        <x:v>Unverified</x:v>
      </x:c>
      <x:c r="H18" s="13"/>
      <x:c r="I18" s="13"/>
    </x:row>
    <x:row r="19" ht="24" customHeight="1">
      <x:c r="A19" s="13"/>
      <x:c r="B19" s="21"/>
      <x:c r="C19" s="21"/>
      <x:c r="D19" s="15" t="str">
        <x:f>IF(A19="","",IF(COUNTIFS(Books!$A$6:$A$8,A19)=0,"Unknown ID",IF(COUNTIFS(Books!$A$6:$A$8,A19,Books!$E$6:$E$8,"&gt;0")=0,"Unavailable",VLOOKUP(A19,Books!$A$6:$H$8,5,FALSE))))</x:f>
      </x:c>
      <x:c r="E19" s="15" t="str">
        <x:f>IF(A19="","",IF(COUNTIFS(Books!$A$6:$A$8,A19)=0,"Unknown ID",IF(COUNTIFS(Books!$A$6:$A$8,A19,Books!$F$6:$F$8,"&gt;0")=0,"Unavailable",VLOOKUP(A19,Books!$A$6:$H$8,6,FALSE))))</x:f>
      </x:c>
      <x:c r="F19" s="10" t="str">
        <x:f>IF(OR(B19="",B19&lt;=0,NOT(ISNUMBER(D19))),"Unverified",ABS(D19-B19)/B19)</x:f>
        <x:v>Unverified</x:v>
      </x:c>
      <x:c r="G19" s="10" t="str">
        <x:f>IF(OR(C19="",C19&lt;=0,NOT(ISNUMBER(E19))),"Unverified",ABS(E19-C19)/C19)</x:f>
        <x:v>Unverified</x:v>
      </x:c>
      <x:c r="H19" s="13"/>
      <x:c r="I19" s="13"/>
    </x:row>
    <x:row r="20" ht="24" customHeight="1">
      <x:c r="A20" s="13"/>
      <x:c r="B20" s="21"/>
      <x:c r="C20" s="21"/>
      <x:c r="D20" s="15" t="str">
        <x:f>IF(A20="","",IF(COUNTIFS(Books!$A$6:$A$8,A20)=0,"Unknown ID",IF(COUNTIFS(Books!$A$6:$A$8,A20,Books!$E$6:$E$8,"&gt;0")=0,"Unavailable",VLOOKUP(A20,Books!$A$6:$H$8,5,FALSE))))</x:f>
      </x:c>
      <x:c r="E20" s="15" t="str">
        <x:f>IF(A20="","",IF(COUNTIFS(Books!$A$6:$A$8,A20)=0,"Unknown ID",IF(COUNTIFS(Books!$A$6:$A$8,A20,Books!$F$6:$F$8,"&gt;0")=0,"Unavailable",VLOOKUP(A20,Books!$A$6:$H$8,6,FALSE))))</x:f>
      </x:c>
      <x:c r="F20" s="10" t="str">
        <x:f>IF(OR(B20="",B20&lt;=0,NOT(ISNUMBER(D20))),"Unverified",ABS(D20-B20)/B20)</x:f>
        <x:v>Unverified</x:v>
      </x:c>
      <x:c r="G20" s="10" t="str">
        <x:f>IF(OR(C20="",C20&lt;=0,NOT(ISNUMBER(E20))),"Unverified",ABS(E20-C20)/C20)</x:f>
        <x:v>Unverified</x:v>
      </x:c>
      <x:c r="H20" s="13"/>
      <x:c r="I20" s="13"/>
    </x:row>
    <x:row r="21" ht="24" customHeight="1">
      <x:c r="A21" s="13"/>
      <x:c r="B21" s="21"/>
      <x:c r="C21" s="21"/>
      <x:c r="D21" s="15" t="str">
        <x:f>IF(A21="","",IF(COUNTIFS(Books!$A$6:$A$8,A21)=0,"Unknown ID",IF(COUNTIFS(Books!$A$6:$A$8,A21,Books!$E$6:$E$8,"&gt;0")=0,"Unavailable",VLOOKUP(A21,Books!$A$6:$H$8,5,FALSE))))</x:f>
      </x:c>
      <x:c r="E21" s="15" t="str">
        <x:f>IF(A21="","",IF(COUNTIFS(Books!$A$6:$A$8,A21)=0,"Unknown ID",IF(COUNTIFS(Books!$A$6:$A$8,A21,Books!$F$6:$F$8,"&gt;0")=0,"Unavailable",VLOOKUP(A21,Books!$A$6:$H$8,6,FALSE))))</x:f>
      </x:c>
      <x:c r="F21" s="10" t="str">
        <x:f>IF(OR(B21="",B21&lt;=0,NOT(ISNUMBER(D21))),"Unverified",ABS(D21-B21)/B21)</x:f>
        <x:v>Unverified</x:v>
      </x:c>
      <x:c r="G21" s="10" t="str">
        <x:f>IF(OR(C21="",C21&lt;=0,NOT(ISNUMBER(E21))),"Unverified",ABS(E21-C21)/C21)</x:f>
        <x:v>Unverified</x:v>
      </x:c>
      <x:c r="H21" s="13"/>
      <x:c r="I21" s="13"/>
    </x:row>
    <x:row r="22" ht="24" customHeight="1">
      <x:c r="A22" s="13"/>
      <x:c r="B22" s="21"/>
      <x:c r="C22" s="21"/>
      <x:c r="D22" s="15" t="str">
        <x:f>IF(A22="","",IF(COUNTIFS(Books!$A$6:$A$8,A22)=0,"Unknown ID",IF(COUNTIFS(Books!$A$6:$A$8,A22,Books!$E$6:$E$8,"&gt;0")=0,"Unavailable",VLOOKUP(A22,Books!$A$6:$H$8,5,FALSE))))</x:f>
      </x:c>
      <x:c r="E22" s="15" t="str">
        <x:f>IF(A22="","",IF(COUNTIFS(Books!$A$6:$A$8,A22)=0,"Unknown ID",IF(COUNTIFS(Books!$A$6:$A$8,A22,Books!$F$6:$F$8,"&gt;0")=0,"Unavailable",VLOOKUP(A22,Books!$A$6:$H$8,6,FALSE))))</x:f>
      </x:c>
      <x:c r="F22" s="10" t="str">
        <x:f>IF(OR(B22="",B22&lt;=0,NOT(ISNUMBER(D22))),"Unverified",ABS(D22-B22)/B22)</x:f>
        <x:v>Unverified</x:v>
      </x:c>
      <x:c r="G22" s="10" t="str">
        <x:f>IF(OR(C22="",C22&lt;=0,NOT(ISNUMBER(E22))),"Unverified",ABS(E22-C22)/C22)</x:f>
        <x:v>Unverified</x:v>
      </x:c>
      <x:c r="H22" s="13"/>
      <x:c r="I22" s="13"/>
    </x:row>
    <x:row r="23" ht="24" customHeight="1">
      <x:c r="A23" s="13"/>
      <x:c r="B23" s="21"/>
      <x:c r="C23" s="21"/>
      <x:c r="D23" s="15" t="str">
        <x:f>IF(A23="","",IF(COUNTIFS(Books!$A$6:$A$8,A23)=0,"Unknown ID",IF(COUNTIFS(Books!$A$6:$A$8,A23,Books!$E$6:$E$8,"&gt;0")=0,"Unavailable",VLOOKUP(A23,Books!$A$6:$H$8,5,FALSE))))</x:f>
      </x:c>
      <x:c r="E23" s="15" t="str">
        <x:f>IF(A23="","",IF(COUNTIFS(Books!$A$6:$A$8,A23)=0,"Unknown ID",IF(COUNTIFS(Books!$A$6:$A$8,A23,Books!$F$6:$F$8,"&gt;0")=0,"Unavailable",VLOOKUP(A23,Books!$A$6:$H$8,6,FALSE))))</x:f>
      </x:c>
      <x:c r="F23" s="10" t="str">
        <x:f>IF(OR(B23="",B23&lt;=0,NOT(ISNUMBER(D23))),"Unverified",ABS(D23-B23)/B23)</x:f>
        <x:v>Unverified</x:v>
      </x:c>
      <x:c r="G23" s="10" t="str">
        <x:f>IF(OR(C23="",C23&lt;=0,NOT(ISNUMBER(E23))),"Unverified",ABS(E23-C23)/C23)</x:f>
        <x:v>Unverified</x:v>
      </x:c>
      <x:c r="H23" s="13"/>
      <x:c r="I23" s="13"/>
    </x:row>
    <x:row r="24" ht="24" customHeight="1">
      <x:c r="A24" s="13"/>
      <x:c r="B24" s="21"/>
      <x:c r="C24" s="21"/>
      <x:c r="D24" s="15" t="str">
        <x:f>IF(A24="","",IF(COUNTIFS(Books!$A$6:$A$8,A24)=0,"Unknown ID",IF(COUNTIFS(Books!$A$6:$A$8,A24,Books!$E$6:$E$8,"&gt;0")=0,"Unavailable",VLOOKUP(A24,Books!$A$6:$H$8,5,FALSE))))</x:f>
      </x:c>
      <x:c r="E24" s="15" t="str">
        <x:f>IF(A24="","",IF(COUNTIFS(Books!$A$6:$A$8,A24)=0,"Unknown ID",IF(COUNTIFS(Books!$A$6:$A$8,A24,Books!$F$6:$F$8,"&gt;0")=0,"Unavailable",VLOOKUP(A24,Books!$A$6:$H$8,6,FALSE))))</x:f>
      </x:c>
      <x:c r="F24" s="10" t="str">
        <x:f>IF(OR(B24="",B24&lt;=0,NOT(ISNUMBER(D24))),"Unverified",ABS(D24-B24)/B24)</x:f>
        <x:v>Unverified</x:v>
      </x:c>
      <x:c r="G24" s="10" t="str">
        <x:f>IF(OR(C24="",C24&lt;=0,NOT(ISNUMBER(E24))),"Unverified",ABS(E24-C24)/C24)</x:f>
        <x:v>Unverified</x:v>
      </x:c>
      <x:c r="H24" s="13"/>
      <x:c r="I24" s="13"/>
    </x:row>
    <x:row r="25" ht="24" customHeight="1">
      <x:c r="A25" s="13"/>
      <x:c r="B25" s="21"/>
      <x:c r="C25" s="21"/>
      <x:c r="D25" s="15" t="str">
        <x:f>IF(A25="","",IF(COUNTIFS(Books!$A$6:$A$8,A25)=0,"Unknown ID",IF(COUNTIFS(Books!$A$6:$A$8,A25,Books!$E$6:$E$8,"&gt;0")=0,"Unavailable",VLOOKUP(A25,Books!$A$6:$H$8,5,FALSE))))</x:f>
      </x:c>
      <x:c r="E25" s="15" t="str">
        <x:f>IF(A25="","",IF(COUNTIFS(Books!$A$6:$A$8,A25)=0,"Unknown ID",IF(COUNTIFS(Books!$A$6:$A$8,A25,Books!$F$6:$F$8,"&gt;0")=0,"Unavailable",VLOOKUP(A25,Books!$A$6:$H$8,6,FALSE))))</x:f>
      </x:c>
      <x:c r="F25" s="10" t="str">
        <x:f>IF(OR(B25="",B25&lt;=0,NOT(ISNUMBER(D25))),"Unverified",ABS(D25-B25)/B25)</x:f>
        <x:v>Unverified</x:v>
      </x:c>
      <x:c r="G25" s="10" t="str">
        <x:f>IF(OR(C25="",C25&lt;=0,NOT(ISNUMBER(E25))),"Unverified",ABS(E25-C25)/C25)</x:f>
        <x:v>Unverified</x:v>
      </x:c>
      <x:c r="H25" s="13"/>
      <x:c r="I25" s="13"/>
    </x:row>
  </x:sheetData>
  <x:conditionalFormatting sqref="F6:G25">
    <x:cfRule type="containsText" dxfId="2" priority="1" operator="containsText" text="Unverified"/>
    <x:cfRule type="containsText" dxfId="3" priority="2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.670000076293945" hidden="0" customWidth="1"/>
    <x:col min="2" max="2" width="12.220000267028809" hidden="0" customWidth="1"/>
    <x:col min="3" max="3" width="15.5600004196167" hidden="0" customWidth="1"/>
    <x:col min="4" max="4" width="15.5600004196167" hidden="0" customWidth="1"/>
    <x:col min="5" max="5" width="26.670000076293945" hidden="0" customWidth="1"/>
    <x:col min="6" max="6" width="18.329999923706055" hidden="0" customWidth="1"/>
    <x:col min="7" max="7" width="13.329999923706055" hidden="0" customWidth="1"/>
    <x:col min="8" max="8" width="16.670000076293945" hidden="0" customWidth="1"/>
    <x:col min="9" max="9" width="13.329999923706055" hidden="0" customWidth="1"/>
    <x:col min="10" max="10" width="31.11000061035156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15-book price comparison sample — not collected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4" customHeight="1">
      <x:c r="A4" s="2" t="str">
        <x:v>Replacement prices only. Match country, currency, condition, source type, edition and language.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8" t="str">
        <x:v>Matched system ID</x:v>
      </x:c>
      <x:c r="B5" s="8" t="str">
        <x:v>Physical ID</x:v>
      </x:c>
      <x:c r="C5" s="8" t="str">
        <x:v>Country / currency</x:v>
      </x:c>
      <x:c r="D5" s="8" t="str">
        <x:v>Hand-checked price</x:v>
      </x:c>
      <x:c r="E5" s="8" t="str">
        <x:v>Human source URL</x:v>
      </x:c>
      <x:c r="F5" s="8" t="str">
        <x:v>Checked at</x:v>
      </x:c>
      <x:c r="G5" s="8" t="str">
        <x:v>System price (INR)</x:v>
      </x:c>
      <x:c r="H5" s="8" t="str">
        <x:v>Comparable?</x:v>
      </x:c>
      <x:c r="I5" s="8" t="str">
        <x:v>Relative error</x:v>
      </x:c>
      <x:c r="J5" s="8" t="str">
        <x:v>Condition / edition / notes</x:v>
      </x:c>
    </x:row>
    <x:row r="6" ht="24" customHeight="1">
      <x:c r="A6" s="13"/>
      <x:c r="B6" s="13"/>
      <x:c r="C6" s="13"/>
      <x:c r="D6" s="22"/>
      <x:c r="E6" s="13"/>
      <x:c r="F6" s="13"/>
      <x:c r="G6" s="23" t="str">
        <x:f>IF(A6="","",IF(COUNTIFS(Books!$A$6:$A$8,A6)=0,"Unknown ID",IF(COUNTIFS(Books!$A$6:$A$8,A6,Books!$G$6:$G$8,"&gt;0")=0,"Unavailable",VLOOKUP(A6,Books!$A$6:$H$8,7,FALSE))))</x:f>
      </x:c>
      <x:c r="H6" s="13"/>
      <x:c r="I6" s="10" t="str">
        <x:f>IF(OR(B6="",C6="",D6="",D6&lt;=0,E6="",F6="",H6&lt;&gt;"Yes",NOT(ISNUMBER(G6))),"Unverified",ABS(G6-D6)/D6)</x:f>
        <x:v>Unverified</x:v>
      </x:c>
      <x:c r="J6" s="13"/>
    </x:row>
    <x:row r="7" ht="24" customHeight="1">
      <x:c r="A7" s="13"/>
      <x:c r="B7" s="13"/>
      <x:c r="C7" s="13"/>
      <x:c r="D7" s="22"/>
      <x:c r="E7" s="13"/>
      <x:c r="F7" s="13"/>
      <x:c r="G7" s="23" t="str">
        <x:f>IF(A7="","",IF(COUNTIFS(Books!$A$6:$A$8,A7)=0,"Unknown ID",IF(COUNTIFS(Books!$A$6:$A$8,A7,Books!$G$6:$G$8,"&gt;0")=0,"Unavailable",VLOOKUP(A7,Books!$A$6:$H$8,7,FALSE))))</x:f>
      </x:c>
      <x:c r="H7" s="13"/>
      <x:c r="I7" s="10" t="str">
        <x:f>IF(OR(B7="",C7="",D7="",D7&lt;=0,E7="",F7="",H7&lt;&gt;"Yes",NOT(ISNUMBER(G7))),"Unverified",ABS(G7-D7)/D7)</x:f>
        <x:v>Unverified</x:v>
      </x:c>
      <x:c r="J7" s="13"/>
    </x:row>
    <x:row r="8" ht="24" customHeight="1">
      <x:c r="A8" s="13"/>
      <x:c r="B8" s="13"/>
      <x:c r="C8" s="13"/>
      <x:c r="D8" s="22"/>
      <x:c r="E8" s="13"/>
      <x:c r="F8" s="13"/>
      <x:c r="G8" s="23" t="str">
        <x:f>IF(A8="","",IF(COUNTIFS(Books!$A$6:$A$8,A8)=0,"Unknown ID",IF(COUNTIFS(Books!$A$6:$A$8,A8,Books!$G$6:$G$8,"&gt;0")=0,"Unavailable",VLOOKUP(A8,Books!$A$6:$H$8,7,FALSE))))</x:f>
      </x:c>
      <x:c r="H8" s="13"/>
      <x:c r="I8" s="10" t="str">
        <x:f>IF(OR(B8="",C8="",D8="",D8&lt;=0,E8="",F8="",H8&lt;&gt;"Yes",NOT(ISNUMBER(G8))),"Unverified",ABS(G8-D8)/D8)</x:f>
        <x:v>Unverified</x:v>
      </x:c>
      <x:c r="J8" s="13"/>
    </x:row>
    <x:row r="9" ht="24" customHeight="1">
      <x:c r="A9" s="13"/>
      <x:c r="B9" s="13"/>
      <x:c r="C9" s="13"/>
      <x:c r="D9" s="22"/>
      <x:c r="E9" s="13"/>
      <x:c r="F9" s="13"/>
      <x:c r="G9" s="23" t="str">
        <x:f>IF(A9="","",IF(COUNTIFS(Books!$A$6:$A$8,A9)=0,"Unknown ID",IF(COUNTIFS(Books!$A$6:$A$8,A9,Books!$G$6:$G$8,"&gt;0")=0,"Unavailable",VLOOKUP(A9,Books!$A$6:$H$8,7,FALSE))))</x:f>
      </x:c>
      <x:c r="H9" s="13"/>
      <x:c r="I9" s="10" t="str">
        <x:f>IF(OR(B9="",C9="",D9="",D9&lt;=0,E9="",F9="",H9&lt;&gt;"Yes",NOT(ISNUMBER(G9))),"Unverified",ABS(G9-D9)/D9)</x:f>
        <x:v>Unverified</x:v>
      </x:c>
      <x:c r="J9" s="13"/>
    </x:row>
    <x:row r="10" ht="24" customHeight="1">
      <x:c r="A10" s="13"/>
      <x:c r="B10" s="13"/>
      <x:c r="C10" s="13"/>
      <x:c r="D10" s="22"/>
      <x:c r="E10" s="13"/>
      <x:c r="F10" s="13"/>
      <x:c r="G10" s="23" t="str">
        <x:f>IF(A10="","",IF(COUNTIFS(Books!$A$6:$A$8,A10)=0,"Unknown ID",IF(COUNTIFS(Books!$A$6:$A$8,A10,Books!$G$6:$G$8,"&gt;0")=0,"Unavailable",VLOOKUP(A10,Books!$A$6:$H$8,7,FALSE))))</x:f>
      </x:c>
      <x:c r="H10" s="13"/>
      <x:c r="I10" s="10" t="str">
        <x:f>IF(OR(B10="",C10="",D10="",D10&lt;=0,E10="",F10="",H10&lt;&gt;"Yes",NOT(ISNUMBER(G10))),"Unverified",ABS(G10-D10)/D10)</x:f>
        <x:v>Unverified</x:v>
      </x:c>
      <x:c r="J10" s="13"/>
    </x:row>
    <x:row r="11" ht="24" customHeight="1">
      <x:c r="A11" s="13"/>
      <x:c r="B11" s="13"/>
      <x:c r="C11" s="13"/>
      <x:c r="D11" s="22"/>
      <x:c r="E11" s="13"/>
      <x:c r="F11" s="13"/>
      <x:c r="G11" s="23" t="str">
        <x:f>IF(A11="","",IF(COUNTIFS(Books!$A$6:$A$8,A11)=0,"Unknown ID",IF(COUNTIFS(Books!$A$6:$A$8,A11,Books!$G$6:$G$8,"&gt;0")=0,"Unavailable",VLOOKUP(A11,Books!$A$6:$H$8,7,FALSE))))</x:f>
      </x:c>
      <x:c r="H11" s="13"/>
      <x:c r="I11" s="10" t="str">
        <x:f>IF(OR(B11="",C11="",D11="",D11&lt;=0,E11="",F11="",H11&lt;&gt;"Yes",NOT(ISNUMBER(G11))),"Unverified",ABS(G11-D11)/D11)</x:f>
        <x:v>Unverified</x:v>
      </x:c>
      <x:c r="J11" s="13"/>
    </x:row>
    <x:row r="12" ht="24" customHeight="1">
      <x:c r="A12" s="13"/>
      <x:c r="B12" s="13"/>
      <x:c r="C12" s="13"/>
      <x:c r="D12" s="22"/>
      <x:c r="E12" s="13"/>
      <x:c r="F12" s="13"/>
      <x:c r="G12" s="23" t="str">
        <x:f>IF(A12="","",IF(COUNTIFS(Books!$A$6:$A$8,A12)=0,"Unknown ID",IF(COUNTIFS(Books!$A$6:$A$8,A12,Books!$G$6:$G$8,"&gt;0")=0,"Unavailable",VLOOKUP(A12,Books!$A$6:$H$8,7,FALSE))))</x:f>
      </x:c>
      <x:c r="H12" s="13"/>
      <x:c r="I12" s="10" t="str">
        <x:f>IF(OR(B12="",C12="",D12="",D12&lt;=0,E12="",F12="",H12&lt;&gt;"Yes",NOT(ISNUMBER(G12))),"Unverified",ABS(G12-D12)/D12)</x:f>
        <x:v>Unverified</x:v>
      </x:c>
      <x:c r="J12" s="13"/>
    </x:row>
    <x:row r="13" ht="24" customHeight="1">
      <x:c r="A13" s="13"/>
      <x:c r="B13" s="13"/>
      <x:c r="C13" s="13"/>
      <x:c r="D13" s="22"/>
      <x:c r="E13" s="13"/>
      <x:c r="F13" s="13"/>
      <x:c r="G13" s="23" t="str">
        <x:f>IF(A13="","",IF(COUNTIFS(Books!$A$6:$A$8,A13)=0,"Unknown ID",IF(COUNTIFS(Books!$A$6:$A$8,A13,Books!$G$6:$G$8,"&gt;0")=0,"Unavailable",VLOOKUP(A13,Books!$A$6:$H$8,7,FALSE))))</x:f>
      </x:c>
      <x:c r="H13" s="13"/>
      <x:c r="I13" s="10" t="str">
        <x:f>IF(OR(B13="",C13="",D13="",D13&lt;=0,E13="",F13="",H13&lt;&gt;"Yes",NOT(ISNUMBER(G13))),"Unverified",ABS(G13-D13)/D13)</x:f>
        <x:v>Unverified</x:v>
      </x:c>
      <x:c r="J13" s="13"/>
    </x:row>
    <x:row r="14" ht="24" customHeight="1">
      <x:c r="A14" s="13"/>
      <x:c r="B14" s="13"/>
      <x:c r="C14" s="13"/>
      <x:c r="D14" s="22"/>
      <x:c r="E14" s="13"/>
      <x:c r="F14" s="13"/>
      <x:c r="G14" s="23" t="str">
        <x:f>IF(A14="","",IF(COUNTIFS(Books!$A$6:$A$8,A14)=0,"Unknown ID",IF(COUNTIFS(Books!$A$6:$A$8,A14,Books!$G$6:$G$8,"&gt;0")=0,"Unavailable",VLOOKUP(A14,Books!$A$6:$H$8,7,FALSE))))</x:f>
      </x:c>
      <x:c r="H14" s="13"/>
      <x:c r="I14" s="10" t="str">
        <x:f>IF(OR(B14="",C14="",D14="",D14&lt;=0,E14="",F14="",H14&lt;&gt;"Yes",NOT(ISNUMBER(G14))),"Unverified",ABS(G14-D14)/D14)</x:f>
        <x:v>Unverified</x:v>
      </x:c>
      <x:c r="J14" s="13"/>
    </x:row>
    <x:row r="15" ht="24" customHeight="1">
      <x:c r="A15" s="13"/>
      <x:c r="B15" s="13"/>
      <x:c r="C15" s="13"/>
      <x:c r="D15" s="22"/>
      <x:c r="E15" s="13"/>
      <x:c r="F15" s="13"/>
      <x:c r="G15" s="23" t="str">
        <x:f>IF(A15="","",IF(COUNTIFS(Books!$A$6:$A$8,A15)=0,"Unknown ID",IF(COUNTIFS(Books!$A$6:$A$8,A15,Books!$G$6:$G$8,"&gt;0")=0,"Unavailable",VLOOKUP(A15,Books!$A$6:$H$8,7,FALSE))))</x:f>
      </x:c>
      <x:c r="H15" s="13"/>
      <x:c r="I15" s="10" t="str">
        <x:f>IF(OR(B15="",C15="",D15="",D15&lt;=0,E15="",F15="",H15&lt;&gt;"Yes",NOT(ISNUMBER(G15))),"Unverified",ABS(G15-D15)/D15)</x:f>
        <x:v>Unverified</x:v>
      </x:c>
      <x:c r="J15" s="13"/>
    </x:row>
    <x:row r="16" ht="24" customHeight="1">
      <x:c r="A16" s="13"/>
      <x:c r="B16" s="13"/>
      <x:c r="C16" s="13"/>
      <x:c r="D16" s="22"/>
      <x:c r="E16" s="13"/>
      <x:c r="F16" s="13"/>
      <x:c r="G16" s="23" t="str">
        <x:f>IF(A16="","",IF(COUNTIFS(Books!$A$6:$A$8,A16)=0,"Unknown ID",IF(COUNTIFS(Books!$A$6:$A$8,A16,Books!$G$6:$G$8,"&gt;0")=0,"Unavailable",VLOOKUP(A16,Books!$A$6:$H$8,7,FALSE))))</x:f>
      </x:c>
      <x:c r="H16" s="13"/>
      <x:c r="I16" s="10" t="str">
        <x:f>IF(OR(B16="",C16="",D16="",D16&lt;=0,E16="",F16="",H16&lt;&gt;"Yes",NOT(ISNUMBER(G16))),"Unverified",ABS(G16-D16)/D16)</x:f>
        <x:v>Unverified</x:v>
      </x:c>
      <x:c r="J16" s="13"/>
    </x:row>
    <x:row r="17" ht="24" customHeight="1">
      <x:c r="A17" s="13"/>
      <x:c r="B17" s="13"/>
      <x:c r="C17" s="13"/>
      <x:c r="D17" s="22"/>
      <x:c r="E17" s="13"/>
      <x:c r="F17" s="13"/>
      <x:c r="G17" s="23" t="str">
        <x:f>IF(A17="","",IF(COUNTIFS(Books!$A$6:$A$8,A17)=0,"Unknown ID",IF(COUNTIFS(Books!$A$6:$A$8,A17,Books!$G$6:$G$8,"&gt;0")=0,"Unavailable",VLOOKUP(A17,Books!$A$6:$H$8,7,FALSE))))</x:f>
      </x:c>
      <x:c r="H17" s="13"/>
      <x:c r="I17" s="10" t="str">
        <x:f>IF(OR(B17="",C17="",D17="",D17&lt;=0,E17="",F17="",H17&lt;&gt;"Yes",NOT(ISNUMBER(G17))),"Unverified",ABS(G17-D17)/D17)</x:f>
        <x:v>Unverified</x:v>
      </x:c>
      <x:c r="J17" s="13"/>
    </x:row>
    <x:row r="18" ht="24" customHeight="1">
      <x:c r="A18" s="13"/>
      <x:c r="B18" s="13"/>
      <x:c r="C18" s="13"/>
      <x:c r="D18" s="22"/>
      <x:c r="E18" s="13"/>
      <x:c r="F18" s="13"/>
      <x:c r="G18" s="23" t="str">
        <x:f>IF(A18="","",IF(COUNTIFS(Books!$A$6:$A$8,A18)=0,"Unknown ID",IF(COUNTIFS(Books!$A$6:$A$8,A18,Books!$G$6:$G$8,"&gt;0")=0,"Unavailable",VLOOKUP(A18,Books!$A$6:$H$8,7,FALSE))))</x:f>
      </x:c>
      <x:c r="H18" s="13"/>
      <x:c r="I18" s="10" t="str">
        <x:f>IF(OR(B18="",C18="",D18="",D18&lt;=0,E18="",F18="",H18&lt;&gt;"Yes",NOT(ISNUMBER(G18))),"Unverified",ABS(G18-D18)/D18)</x:f>
        <x:v>Unverified</x:v>
      </x:c>
      <x:c r="J18" s="13"/>
    </x:row>
    <x:row r="19" ht="24" customHeight="1">
      <x:c r="A19" s="13"/>
      <x:c r="B19" s="13"/>
      <x:c r="C19" s="13"/>
      <x:c r="D19" s="22"/>
      <x:c r="E19" s="13"/>
      <x:c r="F19" s="13"/>
      <x:c r="G19" s="23" t="str">
        <x:f>IF(A19="","",IF(COUNTIFS(Books!$A$6:$A$8,A19)=0,"Unknown ID",IF(COUNTIFS(Books!$A$6:$A$8,A19,Books!$G$6:$G$8,"&gt;0")=0,"Unavailable",VLOOKUP(A19,Books!$A$6:$H$8,7,FALSE))))</x:f>
      </x:c>
      <x:c r="H19" s="13"/>
      <x:c r="I19" s="10" t="str">
        <x:f>IF(OR(B19="",C19="",D19="",D19&lt;=0,E19="",F19="",H19&lt;&gt;"Yes",NOT(ISNUMBER(G19))),"Unverified",ABS(G19-D19)/D19)</x:f>
        <x:v>Unverified</x:v>
      </x:c>
      <x:c r="J19" s="13"/>
    </x:row>
    <x:row r="20" ht="24" customHeight="1">
      <x:c r="A20" s="13"/>
      <x:c r="B20" s="13"/>
      <x:c r="C20" s="13"/>
      <x:c r="D20" s="22"/>
      <x:c r="E20" s="13"/>
      <x:c r="F20" s="13"/>
      <x:c r="G20" s="23" t="str">
        <x:f>IF(A20="","",IF(COUNTIFS(Books!$A$6:$A$8,A20)=0,"Unknown ID",IF(COUNTIFS(Books!$A$6:$A$8,A20,Books!$G$6:$G$8,"&gt;0")=0,"Unavailable",VLOOKUP(A20,Books!$A$6:$H$8,7,FALSE))))</x:f>
      </x:c>
      <x:c r="H20" s="13"/>
      <x:c r="I20" s="10" t="str">
        <x:f>IF(OR(B20="",C20="",D20="",D20&lt;=0,E20="",F20="",H20&lt;&gt;"Yes",NOT(ISNUMBER(G20))),"Unverified",ABS(G20-D20)/D20)</x:f>
        <x:v>Unverified</x:v>
      </x:c>
      <x:c r="J20" s="13"/>
    </x:row>
  </x:sheetData>
  <x:conditionalFormatting sqref="I6:I20">
    <x:cfRule type="containsText" dxfId="4" priority="1" operator="containsText" text="Unverified"/>
    <x:cfRule type="containsText" dxfId="5" priority="2" operator="containsText" text="Fail"/>
  </x:conditionalFormatting>
  <x:dataValidations count="1">
    <x:dataValidation type="list" sqref="H6:H20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.670000076293945" hidden="0" customWidth="1"/>
    <x:col min="2" max="2" width="17.780000686645508" hidden="0" customWidth="1"/>
    <x:col min="3" max="3" width="42.220001220703125" hidden="0" customWidth="1"/>
    <x:col min="4" max="4" width="13.329999923706055" hidden="0" customWidth="1"/>
    <x:col min="5" max="5" width="13.329999923706055" hidden="0" customWidth="1"/>
    <x:col min="6" max="6" width="10.5600004196167" hidden="0" customWidth="1"/>
    <x:col min="7" max="7" width="10.5600004196167" hidden="0" customWidth="1"/>
    <x:col min="8" max="8" width="10.5600004196167" hidden="0" customWidth="1"/>
    <x:col min="9" max="9" width="14.4399995803833" hidden="0" customWidth="1"/>
    <x:col min="10" max="10" width="17.219999313354492" hidden="0" customWidth="1"/>
    <x:col min="11" max="11" width="32.2200012207031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Non-book contents — 76 system records, truth list empty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2" t="str">
        <x:v>Source: current claim packet after 11 conservative merges. Residual duplicate/misclassification risk remains.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8" t="str">
        <x:v>System ID</x:v>
      </x:c>
      <x:c r="B5" s="8" t="str">
        <x:v>Predicted category</x:v>
      </x:c>
      <x:c r="C5" s="8" t="str">
        <x:v>Description</x:v>
      </x:c>
      <x:c r="D5" s="8" t="str">
        <x:v>System status</x:v>
      </x:c>
      <x:c r="E5" s="8" t="str">
        <x:v>Pricing status</x:v>
      </x:c>
      <x:c r="F5" s="8" t="str">
        <x:v>Width (cm)</x:v>
      </x:c>
      <x:c r="G5" s="8" t="str">
        <x:v>Height (cm)</x:v>
      </x:c>
      <x:c r="H5" s="8" t="str">
        <x:v>Depth (cm)</x:v>
      </x:c>
      <x:c r="I5" s="8" t="str">
        <x:v>Replacement low (INR)</x:v>
      </x:c>
      <x:c r="J5" s="8" t="str">
        <x:v>Frame reference</x:v>
      </x:c>
      <x:c r="K5" s="8" t="str">
        <x:v>Comparable-price caveat</x:v>
      </x:c>
    </x:row>
    <x:row r="6" ht="56" customHeight="1">
      <x:c r="A6" s="9" t="str">
        <x:v>i_b56506854bce</x:v>
      </x:c>
      <x:c r="B6" s="9" t="str">
        <x:v>desk</x:v>
      </x:c>
      <x:c r="C6" s="9" t="str">
        <x:v>Light wood-grain desktop with dark metal legs; lower portion partly obscured.</x:v>
      </x:c>
      <x:c r="D6" s="9" t="str">
        <x:v>unpriced</x:v>
      </x:c>
      <x:c r="E6" s="9" t="str">
        <x:v>unavailable</x:v>
      </x:c>
      <x:c r="F6" s="18"/>
      <x:c r="G6" s="18"/>
      <x:c r="H6" s="18"/>
      <x:c r="I6" s="19"/>
      <x:c r="J6" s="9" t="str">
        <x:v>frames/f00001.jpg</x:v>
      </x:c>
      <x:c r="K6" s="9" t="str">
        <x:v>Unpriced / unavailable</x:v>
      </x:c>
    </x:row>
    <x:row r="7" ht="56" customHeight="1">
      <x:c r="A7" s="9" t="str">
        <x:v>i_dc48c7c11ce0</x:v>
      </x:c>
      <x:c r="B7" s="9" t="str">
        <x:v>computer monitor</x:v>
      </x:c>
      <x:c r="C7" s="9" t="str">
        <x:v>Thin silver-colored display seen from the rear and side, with an integrated stand.</x:v>
      </x:c>
      <x:c r="D7" s="9" t="str">
        <x:v>unpriced</x:v>
      </x:c>
      <x:c r="E7" s="9" t="str">
        <x:v>unavailable</x:v>
      </x:c>
      <x:c r="F7" s="18"/>
      <x:c r="G7" s="18"/>
      <x:c r="H7" s="18"/>
      <x:c r="I7" s="19"/>
      <x:c r="J7" s="9" t="str">
        <x:v>frames/f00001.jpg</x:v>
      </x:c>
      <x:c r="K7" s="9" t="str">
        <x:v>Unpriced / unavailable</x:v>
      </x:c>
    </x:row>
    <x:row r="8" ht="56" customHeight="1">
      <x:c r="A8" s="9" t="str">
        <x:v>i_a77722cc3f27</x:v>
      </x:c>
      <x:c r="B8" s="9" t="str">
        <x:v>laptop computer</x:v>
      </x:c>
      <x:c r="C8" s="9" t="str">
        <x:v>Open dark laptop with reflective screen and visible keyboard.</x:v>
      </x:c>
      <x:c r="D8" s="9" t="str">
        <x:v>unpriced</x:v>
      </x:c>
      <x:c r="E8" s="9" t="str">
        <x:v>unavailable</x:v>
      </x:c>
      <x:c r="F8" s="18"/>
      <x:c r="G8" s="18"/>
      <x:c r="H8" s="18"/>
      <x:c r="I8" s="19"/>
      <x:c r="J8" s="9" t="str">
        <x:v>frames/f00001.jpg</x:v>
      </x:c>
      <x:c r="K8" s="9" t="str">
        <x:v>Unpriced / unavailable</x:v>
      </x:c>
    </x:row>
    <x:row r="9" ht="56" customHeight="1">
      <x:c r="A9" s="9" t="str">
        <x:v>i_e140dc4c71c8</x:v>
      </x:c>
      <x:c r="B9" s="9" t="str">
        <x:v>laptop computer</x:v>
      </x:c>
      <x:c r="C9" s="9" t="str">
        <x:v>Closed dark gray laptop on the rear of the desk.</x:v>
      </x:c>
      <x:c r="D9" s="9" t="str">
        <x:v>unpriced</x:v>
      </x:c>
      <x:c r="E9" s="9" t="str">
        <x:v>unavailable</x:v>
      </x:c>
      <x:c r="F9" s="18"/>
      <x:c r="G9" s="18"/>
      <x:c r="H9" s="18"/>
      <x:c r="I9" s="19"/>
      <x:c r="J9" s="9" t="str">
        <x:v>frames/f00003.jpg</x:v>
      </x:c>
      <x:c r="K9" s="9" t="str">
        <x:v>Unpriced / unavailable</x:v>
      </x:c>
    </x:row>
    <x:row r="10" ht="56" customHeight="1">
      <x:c r="A10" s="9" t="str">
        <x:v>i_430a15f19e41</x:v>
      </x:c>
      <x:c r="B10" s="9" t="str">
        <x:v>whiteboard</x:v>
      </x:c>
      <x:c r="C10" s="9" t="str">
        <x:v>Framed whiteboard with blue and black handwriting; right side cropped and some writing erased or unreadable.</x:v>
      </x:c>
      <x:c r="D10" s="9" t="str">
        <x:v>unpriced</x:v>
      </x:c>
      <x:c r="E10" s="9" t="str">
        <x:v>unavailable</x:v>
      </x:c>
      <x:c r="F10" s="18"/>
      <x:c r="G10" s="18"/>
      <x:c r="H10" s="18"/>
      <x:c r="I10" s="19"/>
      <x:c r="J10" s="9" t="str">
        <x:v>frames/f00001.jpg</x:v>
      </x:c>
      <x:c r="K10" s="9" t="str">
        <x:v>Unpriced / unavailable</x:v>
      </x:c>
    </x:row>
    <x:row r="11" ht="56" customHeight="1">
      <x:c r="A11" s="9" t="str">
        <x:v>i_67fe69825a36</x:v>
      </x:c>
      <x:c r="B11" s="9" t="str">
        <x:v>whiteboard support stand</x:v>
      </x:c>
      <x:c r="C11" s="9" t="str">
        <x:v>Partially visible angled support beneath the board.</x:v>
      </x:c>
      <x:c r="D11" s="9" t="str">
        <x:v>unpriced</x:v>
      </x:c>
      <x:c r="E11" s="9" t="str">
        <x:v>unavailable</x:v>
      </x:c>
      <x:c r="F11" s="18"/>
      <x:c r="G11" s="18"/>
      <x:c r="H11" s="18"/>
      <x:c r="I11" s="19"/>
      <x:c r="J11" s="9" t="str">
        <x:v>frames/f00001.jpg</x:v>
      </x:c>
      <x:c r="K11" s="9" t="str">
        <x:v>Unpriced / unavailable</x:v>
      </x:c>
    </x:row>
    <x:row r="12" ht="56" customHeight="1">
      <x:c r="A12" s="9" t="str">
        <x:v>i_c41c1a6f6a48</x:v>
      </x:c>
      <x:c r="B12" s="9" t="str">
        <x:v>office chair</x:v>
      </x:c>
      <x:c r="C12" s="9" t="str">
        <x:v>Black padded swivel chair with curved armrests and shiny caster base; cropped on the right and bottom.</x:v>
      </x:c>
      <x:c r="D12" s="9" t="str">
        <x:v>range</x:v>
      </x:c>
      <x:c r="E12" s="9" t="str">
        <x:v>completed</x:v>
      </x:c>
      <x:c r="F12" s="18" t="n">
        <x:v>62.16014623641968</x:v>
      </x:c>
      <x:c r="G12" s="18" t="n">
        <x:v>126.9729495048523</x:v>
      </x:c>
      <x:c r="H12" s="18" t="n">
        <x:v>71.09570503234863</x:v>
      </x:c>
      <x:c r="I12" s="19" t="n">
        <x:v>3999</x:v>
      </x:c>
      <x:c r="J12" s="9" t="str">
        <x:v>frames/f00001.jpg</x:v>
      </x:c>
      <x:c r="K12" s="9" t="str">
        <x:v>Comparable chair; exact identity, material and dimensions unverified.</x:v>
      </x:c>
    </x:row>
    <x:row r="13" ht="56" customHeight="1">
      <x:c r="A13" s="9" t="str">
        <x:v>i_7b14d77a524b</x:v>
      </x:c>
      <x:c r="B13" s="9" t="str">
        <x:v>water bottle</x:v>
      </x:c>
      <x:c r="C13" s="9" t="str">
        <x:v>Clear ridged bottle with green cap and green label; label lettering not reliably readable.</x:v>
      </x:c>
      <x:c r="D13" s="9" t="str">
        <x:v>unpriced</x:v>
      </x:c>
      <x:c r="E13" s="9" t="str">
        <x:v>unavailable</x:v>
      </x:c>
      <x:c r="F13" s="18"/>
      <x:c r="G13" s="18"/>
      <x:c r="H13" s="18"/>
      <x:c r="I13" s="19"/>
      <x:c r="J13" s="9" t="str">
        <x:v>frames/f00001.jpg</x:v>
      </x:c>
      <x:c r="K13" s="9" t="str">
        <x:v>Unpriced / unavailable</x:v>
      </x:c>
    </x:row>
    <x:row r="14" ht="56" customHeight="1">
      <x:c r="A14" s="9" t="str">
        <x:v>i_5c8db66ac792</x:v>
      </x:c>
      <x:c r="B14" s="9" t="str">
        <x:v>tumbler</x:v>
      </x:c>
      <x:c r="C14" s="9" t="str">
        <x:v>Tall open metallic drinking cup.</x:v>
      </x:c>
      <x:c r="D14" s="9" t="str">
        <x:v>unpriced</x:v>
      </x:c>
      <x:c r="E14" s="9" t="str">
        <x:v>unavailable</x:v>
      </x:c>
      <x:c r="F14" s="18"/>
      <x:c r="G14" s="18"/>
      <x:c r="H14" s="18"/>
      <x:c r="I14" s="19"/>
      <x:c r="J14" s="9" t="str">
        <x:v>frames/f00001.jpg</x:v>
      </x:c>
      <x:c r="K14" s="9" t="str">
        <x:v>Unpriced / unavailable</x:v>
      </x:c>
    </x:row>
    <x:row r="15" ht="56" customHeight="1">
      <x:c r="A15" s="9" t="str">
        <x:v>i_40085e1a075d</x:v>
      </x:c>
      <x:c r="B15" s="9" t="str">
        <x:v>bowl</x:v>
      </x:c>
      <x:c r="C15" s="9" t="str">
        <x:v>Shallow metal bowl, partly hidden by the bottle and tumbler.</x:v>
      </x:c>
      <x:c r="D15" s="9" t="str">
        <x:v>unpriced</x:v>
      </x:c>
      <x:c r="E15" s="9" t="str">
        <x:v>unavailable</x:v>
      </x:c>
      <x:c r="F15" s="18"/>
      <x:c r="G15" s="18"/>
      <x:c r="H15" s="18"/>
      <x:c r="I15" s="19"/>
      <x:c r="J15" s="9" t="str">
        <x:v>frames/f00003.jpg</x:v>
      </x:c>
      <x:c r="K15" s="9" t="str">
        <x:v>Unpriced / unavailable</x:v>
      </x:c>
    </x:row>
    <x:row r="16" ht="56" customHeight="1">
      <x:c r="A16" s="9" t="str">
        <x:v>i_cdc0643169d8</x:v>
      </x:c>
      <x:c r="B16" s="9" t="str">
        <x:v>wall electrical outlet and switch panel</x:v>
      </x:c>
      <x:c r="C16" s="9" t="str">
        <x:v>White wall-mounted electrical panel with connected plugs.</x:v>
      </x:c>
      <x:c r="D16" s="9" t="str">
        <x:v>unpriced</x:v>
      </x:c>
      <x:c r="E16" s="9" t="str">
        <x:v>unavailable</x:v>
      </x:c>
      <x:c r="F16" s="18"/>
      <x:c r="G16" s="18"/>
      <x:c r="H16" s="18"/>
      <x:c r="I16" s="19"/>
      <x:c r="J16" s="9" t="str">
        <x:v>frames/f00001.jpg</x:v>
      </x:c>
      <x:c r="K16" s="9" t="str">
        <x:v>Unpriced / unavailable</x:v>
      </x:c>
    </x:row>
    <x:row r="17" ht="56" customHeight="1">
      <x:c r="A17" s="9" t="str">
        <x:v>i_b81194055e8d</x:v>
      </x:c>
      <x:c r="B17" s="9" t="str">
        <x:v>power cord</x:v>
      </x:c>
      <x:c r="C17" s="9" t="str">
        <x:v>Red plug and red cable descending from the wall outlet; lower continuation obscured.</x:v>
      </x:c>
      <x:c r="D17" s="9" t="str">
        <x:v>unpriced</x:v>
      </x:c>
      <x:c r="E17" s="9" t="str">
        <x:v>unavailable</x:v>
      </x:c>
      <x:c r="F17" s="18"/>
      <x:c r="G17" s="18"/>
      <x:c r="H17" s="18"/>
      <x:c r="I17" s="19"/>
      <x:c r="J17" s="9" t="str">
        <x:v>frames/f00001.jpg</x:v>
      </x:c>
      <x:c r="K17" s="9" t="str">
        <x:v>Unpriced / unavailable</x:v>
      </x:c>
    </x:row>
    <x:row r="18" ht="56" customHeight="1">
      <x:c r="A18" s="9" t="str">
        <x:v>i_467817c20bd4</x:v>
      </x:c>
      <x:c r="B18" s="9" t="str">
        <x:v>electrical plug adapter</x:v>
      </x:c>
      <x:c r="C18" s="9" t="str">
        <x:v>Black plug or adapter in the wall panel, partly hidden by the display.</x:v>
      </x:c>
      <x:c r="D18" s="9" t="str">
        <x:v>unpriced</x:v>
      </x:c>
      <x:c r="E18" s="9" t="str">
        <x:v>unavailable</x:v>
      </x:c>
      <x:c r="F18" s="18"/>
      <x:c r="G18" s="18"/>
      <x:c r="H18" s="18"/>
      <x:c r="I18" s="19"/>
      <x:c r="J18" s="9" t="str">
        <x:v>frames/f00001.jpg</x:v>
      </x:c>
      <x:c r="K18" s="9" t="str">
        <x:v>Unpriced / unavailable</x:v>
      </x:c>
    </x:row>
    <x:row r="19" ht="56" customHeight="1">
      <x:c r="A19" s="9" t="str">
        <x:v>i_a64e512aa991</x:v>
      </x:c>
      <x:c r="B19" s="9" t="str">
        <x:v>power strip</x:v>
      </x:c>
      <x:c r="C19" s="9" t="str">
        <x:v>White and red electrical power strip behind the open laptop.</x:v>
      </x:c>
      <x:c r="D19" s="9" t="str">
        <x:v>unpriced</x:v>
      </x:c>
      <x:c r="E19" s="9" t="str">
        <x:v>unavailable</x:v>
      </x:c>
      <x:c r="F19" s="18"/>
      <x:c r="G19" s="18"/>
      <x:c r="H19" s="18"/>
      <x:c r="I19" s="19"/>
      <x:c r="J19" s="9" t="str">
        <x:v>frames/f00001.jpg</x:v>
      </x:c>
      <x:c r="K19" s="9" t="str">
        <x:v>Unpriced / unavailable</x:v>
      </x:c>
    </x:row>
    <x:row r="20" ht="56" customHeight="1">
      <x:c r="A20" s="9" t="str">
        <x:v>i_dccaed62e45c</x:v>
      </x:c>
      <x:c r="B20" s="9" t="str">
        <x:v>power adapter</x:v>
      </x:c>
      <x:c r="C20" s="9" t="str">
        <x:v>Large white rectangular adapter plugged into the desk power strip.</x:v>
      </x:c>
      <x:c r="D20" s="9" t="str">
        <x:v>unpriced</x:v>
      </x:c>
      <x:c r="E20" s="9" t="str">
        <x:v>unavailable</x:v>
      </x:c>
      <x:c r="F20" s="18"/>
      <x:c r="G20" s="18"/>
      <x:c r="H20" s="18"/>
      <x:c r="I20" s="19"/>
      <x:c r="J20" s="9" t="str">
        <x:v>frames/f00001.jpg</x:v>
      </x:c>
      <x:c r="K20" s="9" t="str">
        <x:v>Unpriced / unavailable</x:v>
      </x:c>
    </x:row>
    <x:row r="21" ht="56" customHeight="1">
      <x:c r="A21" s="9" t="str">
        <x:v>i_bc3b11ddebcf</x:v>
      </x:c>
      <x:c r="B21" s="9" t="str">
        <x:v>power adapter</x:v>
      </x:c>
      <x:c r="C21" s="9" t="str">
        <x:v>Smaller white adapter beside the larger adapter, partly obscured by cables.</x:v>
      </x:c>
      <x:c r="D21" s="9" t="str">
        <x:v>unpriced</x:v>
      </x:c>
      <x:c r="E21" s="9" t="str">
        <x:v>unavailable</x:v>
      </x:c>
      <x:c r="F21" s="18"/>
      <x:c r="G21" s="18"/>
      <x:c r="H21" s="18"/>
      <x:c r="I21" s="19"/>
      <x:c r="J21" s="9" t="str">
        <x:v>frames/f00001.jpg</x:v>
      </x:c>
      <x:c r="K21" s="9" t="str">
        <x:v>Unpriced / unavailable</x:v>
      </x:c>
    </x:row>
    <x:row r="22" ht="56" customHeight="1">
      <x:c r="A22" s="9" t="str">
        <x:v>i_aee37f719b38</x:v>
      </x:c>
      <x:c r="B22" s="9" t="str">
        <x:v>power adapter</x:v>
      </x:c>
      <x:c r="C22" s="9" t="str">
        <x:v>Partially visible black rectangular electrical block behind the laptop screen.</x:v>
      </x:c>
      <x:c r="D22" s="9" t="str">
        <x:v>unpriced</x:v>
      </x:c>
      <x:c r="E22" s="9" t="str">
        <x:v>unavailable</x:v>
      </x:c>
      <x:c r="F22" s="18"/>
      <x:c r="G22" s="18"/>
      <x:c r="H22" s="18"/>
      <x:c r="I22" s="19"/>
      <x:c r="J22" s="9" t="str">
        <x:v>frames/f00001.jpg</x:v>
      </x:c>
      <x:c r="K22" s="9" t="str">
        <x:v>Unpriced / unavailable</x:v>
      </x:c>
    </x:row>
    <x:row r="23" ht="56" customHeight="1">
      <x:c r="A23" s="9" t="str">
        <x:v>i_a2d2dcdf9c09</x:v>
      </x:c>
      <x:c r="B23" s="9" t="str">
        <x:v>connector cable</x:v>
      </x:c>
      <x:c r="C23" s="9" t="str">
        <x:v>Loose light-colored cable loop with a small white connector on the desktop.</x:v>
      </x:c>
      <x:c r="D23" s="9" t="str">
        <x:v>unpriced</x:v>
      </x:c>
      <x:c r="E23" s="9" t="str">
        <x:v>unavailable</x:v>
      </x:c>
      <x:c r="F23" s="18"/>
      <x:c r="G23" s="18"/>
      <x:c r="H23" s="18"/>
      <x:c r="I23" s="19"/>
      <x:c r="J23" s="9" t="str">
        <x:v>frames/f00001.jpg</x:v>
      </x:c>
      <x:c r="K23" s="9" t="str">
        <x:v>Unpriced / unavailable</x:v>
      </x:c>
    </x:row>
    <x:row r="24" ht="56" customHeight="1">
      <x:c r="A24" s="9" t="str">
        <x:v>i_f809944be3ed</x:v>
      </x:c>
      <x:c r="B24" s="9" t="str">
        <x:v>desk-mounted cup holder</x:v>
      </x:c>
      <x:c r="C24" s="9" t="str">
        <x:v>Empty black open cage-style holder suspended beneath the desk.</x:v>
      </x:c>
      <x:c r="D24" s="9" t="str">
        <x:v>unpriced</x:v>
      </x:c>
      <x:c r="E24" s="9" t="str">
        <x:v>unavailable</x:v>
      </x:c>
      <x:c r="F24" s="18"/>
      <x:c r="G24" s="18"/>
      <x:c r="H24" s="18"/>
      <x:c r="I24" s="19"/>
      <x:c r="J24" s="9" t="str">
        <x:v>frames/f00001.jpg</x:v>
      </x:c>
      <x:c r="K24" s="9" t="str">
        <x:v>Unpriced / unavailable</x:v>
      </x:c>
    </x:row>
    <x:row r="25" ht="56" customHeight="1">
      <x:c r="A25" s="9" t="str">
        <x:v>i_a4cabbf4a9f3</x:v>
      </x:c>
      <x:c r="B25" s="9" t="str">
        <x:v>desk</x:v>
      </x:c>
      <x:c r="C25" s="9" t="str">
        <x:v>Light wood-grain tabletop with dark supports and under-desk fittings; partially cropped.</x:v>
      </x:c>
      <x:c r="D25" s="9" t="str">
        <x:v>unpriced</x:v>
      </x:c>
      <x:c r="E25" s="9" t="str">
        <x:v>unavailable</x:v>
      </x:c>
      <x:c r="F25" s="18"/>
      <x:c r="G25" s="18"/>
      <x:c r="H25" s="18"/>
      <x:c r="I25" s="19"/>
      <x:c r="J25" s="9" t="str">
        <x:v>frames/f00003.jpg</x:v>
      </x:c>
      <x:c r="K25" s="9" t="str">
        <x:v>Unpriced / unavailable</x:v>
      </x:c>
    </x:row>
    <x:row r="26" ht="56" customHeight="1">
      <x:c r="A26" s="9" t="str">
        <x:v>i_d10f63513e9c</x:v>
      </x:c>
      <x:c r="B26" s="9" t="str">
        <x:v>water bottle</x:v>
      </x:c>
      <x:c r="C26" s="9" t="str">
        <x:v>Clear bottle with green cap and green label.</x:v>
      </x:c>
      <x:c r="D26" s="9" t="str">
        <x:v>unpriced</x:v>
      </x:c>
      <x:c r="E26" s="9" t="str">
        <x:v>unavailable</x:v>
      </x:c>
      <x:c r="F26" s="18"/>
      <x:c r="G26" s="18"/>
      <x:c r="H26" s="18"/>
      <x:c r="I26" s="19"/>
      <x:c r="J26" s="9" t="str">
        <x:v>frames/f00003.jpg</x:v>
      </x:c>
      <x:c r="K26" s="9" t="str">
        <x:v>Unpriced / unavailable</x:v>
      </x:c>
    </x:row>
    <x:row r="27" ht="56" customHeight="1">
      <x:c r="A27" s="9" t="str">
        <x:v>i_1097b668a5e6</x:v>
      </x:c>
      <x:c r="B27" s="9" t="str">
        <x:v>power adapter</x:v>
      </x:c>
      <x:c r="C27" s="9" t="str">
        <x:v>White rectangular power adapter partly hidden behind the monitor.</x:v>
      </x:c>
      <x:c r="D27" s="9" t="str">
        <x:v>unpriced</x:v>
      </x:c>
      <x:c r="E27" s="9" t="str">
        <x:v>unavailable</x:v>
      </x:c>
      <x:c r="F27" s="18"/>
      <x:c r="G27" s="18"/>
      <x:c r="H27" s="18"/>
      <x:c r="I27" s="19"/>
      <x:c r="J27" s="9" t="str">
        <x:v>frames/f00003.jpg</x:v>
      </x:c>
      <x:c r="K27" s="9" t="str">
        <x:v>Unpriced / unavailable</x:v>
      </x:c>
    </x:row>
    <x:row r="28" ht="56" customHeight="1">
      <x:c r="A28" s="9" t="str">
        <x:v>i_989a22c78dfc</x:v>
      </x:c>
      <x:c r="B28" s="9" t="str">
        <x:v>power strip</x:v>
      </x:c>
      <x:c r="C28" s="9" t="str">
        <x:v>Partly obscured white and red electrical connection strip beneath adapters.</x:v>
      </x:c>
      <x:c r="D28" s="9" t="str">
        <x:v>unpriced</x:v>
      </x:c>
      <x:c r="E28" s="9" t="str">
        <x:v>unavailable</x:v>
      </x:c>
      <x:c r="F28" s="18"/>
      <x:c r="G28" s="18"/>
      <x:c r="H28" s="18"/>
      <x:c r="I28" s="19"/>
      <x:c r="J28" s="9" t="str">
        <x:v>frames/f00003.jpg</x:v>
      </x:c>
      <x:c r="K28" s="9" t="str">
        <x:v>Unpriced / unavailable</x:v>
      </x:c>
    </x:row>
    <x:row r="29" ht="56" customHeight="1">
      <x:c r="A29" s="9" t="str">
        <x:v>i_7ce83de65284</x:v>
      </x:c>
      <x:c r="B29" s="9" t="str">
        <x:v>plug-in power adapter</x:v>
      </x:c>
      <x:c r="C29" s="9" t="str">
        <x:v>Black rectangular adapter plugged into the wall panel.</x:v>
      </x:c>
      <x:c r="D29" s="9" t="str">
        <x:v>unpriced</x:v>
      </x:c>
      <x:c r="E29" s="9" t="str">
        <x:v>unavailable</x:v>
      </x:c>
      <x:c r="F29" s="18"/>
      <x:c r="G29" s="18"/>
      <x:c r="H29" s="18"/>
      <x:c r="I29" s="19"/>
      <x:c r="J29" s="9" t="str">
        <x:v>frames/f00003.jpg</x:v>
      </x:c>
      <x:c r="K29" s="9" t="str">
        <x:v>Unpriced / unavailable</x:v>
      </x:c>
    </x:row>
    <x:row r="30" ht="56" customHeight="1">
      <x:c r="A30" s="9" t="str">
        <x:v>i_5f8761827650</x:v>
      </x:c>
      <x:c r="B30" s="9" t="str">
        <x:v>electrical connector</x:v>
      </x:c>
      <x:c r="C30" s="9" t="str">
        <x:v>White connector with red detail, partly obscured by the monitor stand.</x:v>
      </x:c>
      <x:c r="D30" s="9" t="str">
        <x:v>unpriced</x:v>
      </x:c>
      <x:c r="E30" s="9" t="str">
        <x:v>unavailable</x:v>
      </x:c>
      <x:c r="F30" s="18"/>
      <x:c r="G30" s="18"/>
      <x:c r="H30" s="18"/>
      <x:c r="I30" s="19"/>
      <x:c r="J30" s="9" t="str">
        <x:v>frames/f00003.jpg</x:v>
      </x:c>
      <x:c r="K30" s="9" t="str">
        <x:v>Unpriced / unavailable</x:v>
      </x:c>
    </x:row>
    <x:row r="31" ht="56" customHeight="1">
      <x:c r="A31" s="9" t="str">
        <x:v>i_c22d45123bb7</x:v>
      </x:c>
      <x:c r="B31" s="9" t="str">
        <x:v>cable</x:v>
      </x:c>
      <x:c r="C31" s="9" t="str">
        <x:v>Loose pale cable loop with a small light-colored connector on the tabletop.</x:v>
      </x:c>
      <x:c r="D31" s="9" t="str">
        <x:v>unpriced</x:v>
      </x:c>
      <x:c r="E31" s="9" t="str">
        <x:v>unavailable</x:v>
      </x:c>
      <x:c r="F31" s="18"/>
      <x:c r="G31" s="18"/>
      <x:c r="H31" s="18"/>
      <x:c r="I31" s="19"/>
      <x:c r="J31" s="9" t="str">
        <x:v>frames/f00004.jpg</x:v>
      </x:c>
      <x:c r="K31" s="9" t="str">
        <x:v>Unpriced / unavailable</x:v>
      </x:c>
    </x:row>
    <x:row r="32" ht="56" customHeight="1">
      <x:c r="A32" s="9" t="str">
        <x:v>i_21eb948ef60f</x:v>
      </x:c>
      <x:c r="B32" s="9" t="str">
        <x:v>connection cable</x:v>
      </x:c>
      <x:c r="C32" s="9" t="str">
        <x:v>Black cable looping from a connector on the foreground laptop toward the monitor.</x:v>
      </x:c>
      <x:c r="D32" s="9" t="str">
        <x:v>unpriced</x:v>
      </x:c>
      <x:c r="E32" s="9" t="str">
        <x:v>unavailable</x:v>
      </x:c>
      <x:c r="F32" s="18"/>
      <x:c r="G32" s="18"/>
      <x:c r="H32" s="18"/>
      <x:c r="I32" s="19"/>
      <x:c r="J32" s="9" t="str">
        <x:v>frames/f00003.jpg</x:v>
      </x:c>
      <x:c r="K32" s="9" t="str">
        <x:v>Unpriced / unavailable</x:v>
      </x:c>
    </x:row>
    <x:row r="33" ht="56" customHeight="1">
      <x:c r="A33" s="9" t="str">
        <x:v>i_d65f28607c14</x:v>
      </x:c>
      <x:c r="B33" s="9" t="str">
        <x:v>whiteboard support stand</x:v>
      </x:c>
      <x:c r="C33" s="9" t="str">
        <x:v>Visible angled metal support beneath the board; much of the stand is hidden.</x:v>
      </x:c>
      <x:c r="D33" s="9" t="str">
        <x:v>unpriced</x:v>
      </x:c>
      <x:c r="E33" s="9" t="str">
        <x:v>unavailable</x:v>
      </x:c>
      <x:c r="F33" s="18"/>
      <x:c r="G33" s="18"/>
      <x:c r="H33" s="18"/>
      <x:c r="I33" s="19"/>
      <x:c r="J33" s="9" t="str">
        <x:v>frames/f00003.jpg</x:v>
      </x:c>
      <x:c r="K33" s="9" t="str">
        <x:v>Unpriced / unavailable</x:v>
      </x:c>
    </x:row>
    <x:row r="34" ht="56" customHeight="1">
      <x:c r="A34" s="9" t="str">
        <x:v>i_ed3df3fb5527</x:v>
      </x:c>
      <x:c r="B34" s="9" t="str">
        <x:v>under-desk cup holder</x:v>
      </x:c>
      <x:c r="C34" s="9" t="str">
        <x:v>Open circular cage-style holder attached beneath the desk.</x:v>
      </x:c>
      <x:c r="D34" s="9" t="str">
        <x:v>unpriced</x:v>
      </x:c>
      <x:c r="E34" s="9" t="str">
        <x:v>unavailable</x:v>
      </x:c>
      <x:c r="F34" s="18"/>
      <x:c r="G34" s="18"/>
      <x:c r="H34" s="18"/>
      <x:c r="I34" s="19"/>
      <x:c r="J34" s="9" t="str">
        <x:v>frames/f00003.jpg</x:v>
      </x:c>
      <x:c r="K34" s="9" t="str">
        <x:v>Unpriced / unavailable</x:v>
      </x:c>
    </x:row>
    <x:row r="35" ht="56" customHeight="1">
      <x:c r="A35" s="9" t="str">
        <x:v>i_b3e5e7a154d4</x:v>
      </x:c>
      <x:c r="B35" s="9" t="str">
        <x:v>curtain</x:v>
      </x:c>
      <x:c r="C35" s="9" t="str">
        <x:v>Light patterned curtain with folds and dark top eyelets, partly cropped and obscured by the board.</x:v>
      </x:c>
      <x:c r="D35" s="9" t="str">
        <x:v>unpriced</x:v>
      </x:c>
      <x:c r="E35" s="9" t="str">
        <x:v>unavailable</x:v>
      </x:c>
      <x:c r="F35" s="18"/>
      <x:c r="G35" s="18"/>
      <x:c r="H35" s="18"/>
      <x:c r="I35" s="19"/>
      <x:c r="J35" s="9" t="str">
        <x:v>frames/f00003.jpg</x:v>
      </x:c>
      <x:c r="K35" s="9" t="str">
        <x:v>Unpriced / unavailable</x:v>
      </x:c>
    </x:row>
    <x:row r="36" ht="56" customHeight="1">
      <x:c r="A36" s="9" t="str">
        <x:v>i_108f7193f0e8</x:v>
      </x:c>
      <x:c r="B36" s="9" t="str">
        <x:v>curtain rod</x:v>
      </x:c>
      <x:c r="C36" s="9" t="str">
        <x:v>Short exposed dark rod and end fitting behind the curtain.</x:v>
      </x:c>
      <x:c r="D36" s="9" t="str">
        <x:v>unpriced</x:v>
      </x:c>
      <x:c r="E36" s="9" t="str">
        <x:v>unavailable</x:v>
      </x:c>
      <x:c r="F36" s="18"/>
      <x:c r="G36" s="18"/>
      <x:c r="H36" s="18"/>
      <x:c r="I36" s="19"/>
      <x:c r="J36" s="9" t="str">
        <x:v>frames/f00003.jpg</x:v>
      </x:c>
      <x:c r="K36" s="9" t="str">
        <x:v>Unpriced / unavailable</x:v>
      </x:c>
    </x:row>
    <x:row r="37" ht="56" customHeight="1">
      <x:c r="A37" s="9" t="str">
        <x:v>i_52dff5dd2110</x:v>
      </x:c>
      <x:c r="B37" s="9" t="str">
        <x:v>computer monitor</x:v>
      </x:c>
      <x:c r="C37" s="9" t="str">
        <x:v>Large thin dark display viewed obliquely, partly cropped at the left.</x:v>
      </x:c>
      <x:c r="D37" s="9" t="str">
        <x:v>unpriced</x:v>
      </x:c>
      <x:c r="E37" s="9" t="str">
        <x:v>unavailable</x:v>
      </x:c>
      <x:c r="F37" s="18"/>
      <x:c r="G37" s="18"/>
      <x:c r="H37" s="18"/>
      <x:c r="I37" s="19"/>
      <x:c r="J37" s="9" t="str">
        <x:v>frames/f00004.jpg</x:v>
      </x:c>
      <x:c r="K37" s="9" t="str">
        <x:v>Unpriced / unavailable</x:v>
      </x:c>
    </x:row>
    <x:row r="38" ht="56" customHeight="1">
      <x:c r="A38" s="9" t="str">
        <x:v>i_f22ca3557e10</x:v>
      </x:c>
      <x:c r="B38" s="9" t="str">
        <x:v>laptop computer</x:v>
      </x:c>
      <x:c r="C38" s="9" t="str">
        <x:v>Closed dark laptop on the rear portion of the desk.</x:v>
      </x:c>
      <x:c r="D38" s="9" t="str">
        <x:v>unpriced</x:v>
      </x:c>
      <x:c r="E38" s="9" t="str">
        <x:v>unavailable</x:v>
      </x:c>
      <x:c r="F38" s="18"/>
      <x:c r="G38" s="18"/>
      <x:c r="H38" s="18"/>
      <x:c r="I38" s="19"/>
      <x:c r="J38" s="9" t="str">
        <x:v>frames/f00004.jpg</x:v>
      </x:c>
      <x:c r="K38" s="9" t="str">
        <x:v>Unpriced / unavailable</x:v>
      </x:c>
    </x:row>
    <x:row r="39" ht="56" customHeight="1">
      <x:c r="A39" s="9" t="str">
        <x:v>i_7c7fe8ed6d98</x:v>
      </x:c>
      <x:c r="B39" s="9" t="str">
        <x:v>water bottle</x:v>
      </x:c>
      <x:c r="C39" s="9" t="str">
        <x:v>Clear ribbed bottle with green cap and green label.</x:v>
      </x:c>
      <x:c r="D39" s="9" t="str">
        <x:v>unpriced</x:v>
      </x:c>
      <x:c r="E39" s="9" t="str">
        <x:v>unavailable</x:v>
      </x:c>
      <x:c r="F39" s="18"/>
      <x:c r="G39" s="18"/>
      <x:c r="H39" s="18"/>
      <x:c r="I39" s="19"/>
      <x:c r="J39" s="9" t="str">
        <x:v>frames/f00004.jpg</x:v>
      </x:c>
      <x:c r="K39" s="9" t="str">
        <x:v>Unpriced / unavailable</x:v>
      </x:c>
    </x:row>
    <x:row r="40" ht="56" customHeight="1">
      <x:c r="A40" s="9" t="str">
        <x:v>i_0df2b13a28f9</x:v>
      </x:c>
      <x:c r="B40" s="9" t="str">
        <x:v>bowl</x:v>
      </x:c>
      <x:c r="C40" s="9" t="str">
        <x:v>Small reflective bowl behind the bottle and tumbler.</x:v>
      </x:c>
      <x:c r="D40" s="9" t="str">
        <x:v>unpriced</x:v>
      </x:c>
      <x:c r="E40" s="9" t="str">
        <x:v>unavailable</x:v>
      </x:c>
      <x:c r="F40" s="18"/>
      <x:c r="G40" s="18"/>
      <x:c r="H40" s="18"/>
      <x:c r="I40" s="19"/>
      <x:c r="J40" s="9" t="str">
        <x:v>frames/f00004.jpg</x:v>
      </x:c>
      <x:c r="K40" s="9" t="str">
        <x:v>Unpriced / unavailable</x:v>
      </x:c>
    </x:row>
    <x:row r="41" ht="56" customHeight="1">
      <x:c r="A41" s="9" t="str">
        <x:v>i_84c613f80a63</x:v>
      </x:c>
      <x:c r="B41" s="9" t="str">
        <x:v>wireless router</x:v>
      </x:c>
      <x:c r="C41" s="9" t="str">
        <x:v>Partly obscured white rectangular device with two upright antennas.</x:v>
      </x:c>
      <x:c r="D41" s="9" t="str">
        <x:v>unpriced</x:v>
      </x:c>
      <x:c r="E41" s="9" t="str">
        <x:v>unavailable</x:v>
      </x:c>
      <x:c r="F41" s="18"/>
      <x:c r="G41" s="18"/>
      <x:c r="H41" s="18"/>
      <x:c r="I41" s="19"/>
      <x:c r="J41" s="9" t="str">
        <x:v>frames/f00004.jpg</x:v>
      </x:c>
      <x:c r="K41" s="9" t="str">
        <x:v>Unpriced / unavailable</x:v>
      </x:c>
    </x:row>
    <x:row r="42" ht="56" customHeight="1">
      <x:c r="A42" s="9" t="str">
        <x:v>i_85020d0b831c</x:v>
      </x:c>
      <x:c r="B42" s="9" t="str">
        <x:v>power adapter</x:v>
      </x:c>
      <x:c r="C42" s="9" t="str">
        <x:v>White rectangular plug-in adapter with an attached cable.</x:v>
      </x:c>
      <x:c r="D42" s="9" t="str">
        <x:v>unpriced</x:v>
      </x:c>
      <x:c r="E42" s="9" t="str">
        <x:v>unavailable</x:v>
      </x:c>
      <x:c r="F42" s="18"/>
      <x:c r="G42" s="18"/>
      <x:c r="H42" s="18"/>
      <x:c r="I42" s="19"/>
      <x:c r="J42" s="9" t="str">
        <x:v>frames/f00004.jpg</x:v>
      </x:c>
      <x:c r="K42" s="9" t="str">
        <x:v>Unpriced / unavailable</x:v>
      </x:c>
    </x:row>
    <x:row r="43" ht="56" customHeight="1">
      <x:c r="A43" s="9" t="str">
        <x:v>i_7ec8218e2b02</x:v>
      </x:c>
      <x:c r="B43" s="9" t="str">
        <x:v>power strip</x:v>
      </x:c>
      <x:c r="C43" s="9" t="str">
        <x:v>Partly obscured white power strip with red lower edge and connected plugs.</x:v>
      </x:c>
      <x:c r="D43" s="9" t="str">
        <x:v>unpriced</x:v>
      </x:c>
      <x:c r="E43" s="9" t="str">
        <x:v>unavailable</x:v>
      </x:c>
      <x:c r="F43" s="18"/>
      <x:c r="G43" s="18"/>
      <x:c r="H43" s="18"/>
      <x:c r="I43" s="19"/>
      <x:c r="J43" s="9" t="str">
        <x:v>frames/f00004.jpg</x:v>
      </x:c>
      <x:c r="K43" s="9" t="str">
        <x:v>Unpriced / unavailable</x:v>
      </x:c>
    </x:row>
    <x:row r="44" ht="56" customHeight="1">
      <x:c r="A44" s="9" t="str">
        <x:v>i_8f3fb415f71b</x:v>
      </x:c>
      <x:c r="B44" s="9" t="str">
        <x:v>electrical plug adapter</x:v>
      </x:c>
      <x:c r="C44" s="9" t="str">
        <x:v>Small dark connected plug or adapter beside the larger white adapter.</x:v>
      </x:c>
      <x:c r="D44" s="9" t="str">
        <x:v>unpriced</x:v>
      </x:c>
      <x:c r="E44" s="9" t="str">
        <x:v>unavailable</x:v>
      </x:c>
      <x:c r="F44" s="18"/>
      <x:c r="G44" s="18"/>
      <x:c r="H44" s="18"/>
      <x:c r="I44" s="19"/>
      <x:c r="J44" s="9" t="str">
        <x:v>frames/f00004.jpg</x:v>
      </x:c>
      <x:c r="K44" s="9" t="str">
        <x:v>Unpriced / unavailable</x:v>
      </x:c>
    </x:row>
    <x:row r="45" ht="56" customHeight="1">
      <x:c r="A45" s="9" t="str">
        <x:v>i_4f6f532ece7b</x:v>
      </x:c>
      <x:c r="B45" s="9" t="str">
        <x:v>connected cables</x:v>
      </x:c>
      <x:c r="C45" s="9" t="str">
        <x:v>Several overlapping dark cables connecting the visible desk electronics; individual paths are obscured.</x:v>
      </x:c>
      <x:c r="D45" s="9" t="str">
        <x:v>unpriced</x:v>
      </x:c>
      <x:c r="E45" s="9" t="str">
        <x:v>unavailable</x:v>
      </x:c>
      <x:c r="F45" s="18"/>
      <x:c r="G45" s="18"/>
      <x:c r="H45" s="18"/>
      <x:c r="I45" s="19"/>
      <x:c r="J45" s="9" t="str">
        <x:v>frames/f00004.jpg</x:v>
      </x:c>
      <x:c r="K45" s="9" t="str">
        <x:v>Unpriced / unavailable</x:v>
      </x:c>
    </x:row>
    <x:row r="46" ht="56" customHeight="1">
      <x:c r="A46" s="9" t="str">
        <x:v>i_7f01f8908433</x:v>
      </x:c>
      <x:c r="B46" s="9" t="str">
        <x:v>curtain rod and mounting hardware</x:v>
      </x:c>
      <x:c r="C46" s="9" t="str">
        <x:v>Dark wall-mounted curtain hardware with rounded gold-colored finial.</x:v>
      </x:c>
      <x:c r="D46" s="9" t="str">
        <x:v>unpriced</x:v>
      </x:c>
      <x:c r="E46" s="9" t="str">
        <x:v>unavailable</x:v>
      </x:c>
      <x:c r="F46" s="18"/>
      <x:c r="G46" s="18"/>
      <x:c r="H46" s="18"/>
      <x:c r="I46" s="19"/>
      <x:c r="J46" s="9" t="str">
        <x:v>frames/f00004.jpg</x:v>
      </x:c>
      <x:c r="K46" s="9" t="str">
        <x:v>Unpriced / unavailable</x:v>
      </x:c>
    </x:row>
    <x:row r="47" ht="56" customHeight="1">
      <x:c r="A47" s="9" t="str">
        <x:v>i_be9d30593b2f</x:v>
      </x:c>
      <x:c r="B47" s="9" t="str">
        <x:v>curtain rod</x:v>
      </x:c>
      <x:c r="C47" s="9" t="str">
        <x:v>Short visible dark horizontal curtain rod section at the right edge.</x:v>
      </x:c>
      <x:c r="D47" s="9" t="str">
        <x:v>unpriced</x:v>
      </x:c>
      <x:c r="E47" s="9" t="str">
        <x:v>unavailable</x:v>
      </x:c>
      <x:c r="F47" s="18"/>
      <x:c r="G47" s="18"/>
      <x:c r="H47" s="18"/>
      <x:c r="I47" s="19"/>
      <x:c r="J47" s="9" t="str">
        <x:v>frames/f00004.jpg</x:v>
      </x:c>
      <x:c r="K47" s="9" t="str">
        <x:v>Unpriced / unavailable</x:v>
      </x:c>
    </x:row>
    <x:row r="48" ht="56" customHeight="1">
      <x:c r="A48" s="9" t="str">
        <x:v>i_d0782a282277</x:v>
      </x:c>
      <x:c r="B48" s="9" t="str">
        <x:v>ceiling light</x:v>
      </x:c>
      <x:c r="C48" s="9" t="str">
        <x:v>Bright illuminated ceiling fixture, partly cropped and strongly overexposed.</x:v>
      </x:c>
      <x:c r="D48" s="9" t="str">
        <x:v>unpriced</x:v>
      </x:c>
      <x:c r="E48" s="9" t="str">
        <x:v>unavailable</x:v>
      </x:c>
      <x:c r="F48" s="18"/>
      <x:c r="G48" s="18"/>
      <x:c r="H48" s="18"/>
      <x:c r="I48" s="19"/>
      <x:c r="J48" s="9" t="str">
        <x:v>frames/f00004.jpg</x:v>
      </x:c>
      <x:c r="K48" s="9" t="str">
        <x:v>Unpriced / unavailable</x:v>
      </x:c>
    </x:row>
    <x:row r="49" ht="56" customHeight="1">
      <x:c r="A49" s="9" t="str">
        <x:v>i_7c3b56b42544</x:v>
      </x:c>
      <x:c r="B49" s="9" t="str">
        <x:v>Desk</x:v>
      </x:c>
      <x:c r="C49" s="9" t="str">
        <x:v>Light wood-tone desktop with dark legs; much of the desk is outside the frame or obscured by the chair.</x:v>
      </x:c>
      <x:c r="D49" s="9" t="str">
        <x:v>unpriced</x:v>
      </x:c>
      <x:c r="E49" s="9" t="str">
        <x:v>unavailable</x:v>
      </x:c>
      <x:c r="F49" s="18" t="n">
        <x:v>131.94892406463623</x:v>
      </x:c>
      <x:c r="G49" s="18" t="n">
        <x:v>82.85832405090332</x:v>
      </x:c>
      <x:c r="H49" s="18" t="n">
        <x:v>66.58735871315002</x:v>
      </x:c>
      <x:c r="I49" s="19"/>
      <x:c r="J49" s="9" t="str">
        <x:v>frames/f00005.jpg</x:v>
      </x:c>
      <x:c r="K49" s="9" t="str">
        <x:v>Unpriced / unavailable</x:v>
      </x:c>
    </x:row>
    <x:row r="50" ht="56" customHeight="1">
      <x:c r="A50" s="9" t="str">
        <x:v>i_fb2598dd8b78</x:v>
      </x:c>
      <x:c r="B50" s="9" t="str">
        <x:v>Closed laptop</x:v>
      </x:c>
      <x:c r="C50" s="9" t="str">
        <x:v>Thin dark closed laptop on the desk, cropped at the left edge. Lid marking is unreadable.</x:v>
      </x:c>
      <x:c r="D50" s="9" t="str">
        <x:v>unpriced</x:v>
      </x:c>
      <x:c r="E50" s="9" t="str">
        <x:v>unavailable</x:v>
      </x:c>
      <x:c r="F50" s="18"/>
      <x:c r="G50" s="18"/>
      <x:c r="H50" s="18"/>
      <x:c r="I50" s="19"/>
      <x:c r="J50" s="9" t="str">
        <x:v>frames/f00005.jpg</x:v>
      </x:c>
      <x:c r="K50" s="9" t="str">
        <x:v>Unpriced / unavailable</x:v>
      </x:c>
    </x:row>
    <x:row r="51" ht="56" customHeight="1">
      <x:c r="A51" s="9" t="str">
        <x:v>i_5f19535cb63e</x:v>
      </x:c>
      <x:c r="B51" s="9" t="str">
        <x:v>Cable</x:v>
      </x:c>
      <x:c r="C51" s="9" t="str">
        <x:v>Short visible section of thin cable with a white connector on the desktop; connector type unclear.</x:v>
      </x:c>
      <x:c r="D51" s="9" t="str">
        <x:v>unpriced</x:v>
      </x:c>
      <x:c r="E51" s="9" t="str">
        <x:v>unavailable</x:v>
      </x:c>
      <x:c r="F51" s="18"/>
      <x:c r="G51" s="18"/>
      <x:c r="H51" s="18"/>
      <x:c r="I51" s="19"/>
      <x:c r="J51" s="9" t="str">
        <x:v>frames/f00005.jpg</x:v>
      </x:c>
      <x:c r="K51" s="9" t="str">
        <x:v>Unpriced / unavailable</x:v>
      </x:c>
    </x:row>
    <x:row r="52" ht="56" customHeight="1">
      <x:c r="A52" s="9" t="str">
        <x:v>i_a8b7ffb29dfd</x:v>
      </x:c>
      <x:c r="B52" s="9" t="str">
        <x:v>Curtain panel</x:v>
      </x:c>
      <x:c r="C52" s="9" t="str">
        <x:v>Light-colored patterned eyelet curtain, partly hidden by the whiteboard.</x:v>
      </x:c>
      <x:c r="D52" s="9" t="str">
        <x:v>unpriced</x:v>
      </x:c>
      <x:c r="E52" s="9" t="str">
        <x:v>unavailable</x:v>
      </x:c>
      <x:c r="F52" s="18"/>
      <x:c r="G52" s="18"/>
      <x:c r="H52" s="18"/>
      <x:c r="I52" s="19"/>
      <x:c r="J52" s="9" t="str">
        <x:v>frames/f00005.jpg</x:v>
      </x:c>
      <x:c r="K52" s="9" t="str">
        <x:v>Unpriced / unavailable</x:v>
      </x:c>
    </x:row>
    <x:row r="53" ht="56" customHeight="1">
      <x:c r="A53" s="9" t="str">
        <x:v>i_0aa6ce234494</x:v>
      </x:c>
      <x:c r="B53" s="9" t="str">
        <x:v>Curtain panel</x:v>
      </x:c>
      <x:c r="C53" s="9" t="str">
        <x:v>Tan patterned eyelet curtain with deep vertical folds.</x:v>
      </x:c>
      <x:c r="D53" s="9" t="str">
        <x:v>unpriced</x:v>
      </x:c>
      <x:c r="E53" s="9" t="str">
        <x:v>unavailable</x:v>
      </x:c>
      <x:c r="F53" s="18"/>
      <x:c r="G53" s="18"/>
      <x:c r="H53" s="18"/>
      <x:c r="I53" s="19"/>
      <x:c r="J53" s="9" t="str">
        <x:v>frames/f00005.jpg</x:v>
      </x:c>
      <x:c r="K53" s="9" t="str">
        <x:v>Unpriced / unavailable</x:v>
      </x:c>
    </x:row>
    <x:row r="54" ht="56" customHeight="1">
      <x:c r="A54" s="9" t="str">
        <x:v>i_343c3afa8350</x:v>
      </x:c>
      <x:c r="B54" s="9" t="str">
        <x:v>Curtain panel</x:v>
      </x:c>
      <x:c r="C54" s="9" t="str">
        <x:v>Light patterned eyelet curtain, cropped along the right edge.</x:v>
      </x:c>
      <x:c r="D54" s="9" t="str">
        <x:v>unpriced</x:v>
      </x:c>
      <x:c r="E54" s="9" t="str">
        <x:v>unavailable</x:v>
      </x:c>
      <x:c r="F54" s="18"/>
      <x:c r="G54" s="18"/>
      <x:c r="H54" s="18"/>
      <x:c r="I54" s="19"/>
      <x:c r="J54" s="9" t="str">
        <x:v>frames/f00005.jpg</x:v>
      </x:c>
      <x:c r="K54" s="9" t="str">
        <x:v>Unpriced / unavailable</x:v>
      </x:c>
    </x:row>
    <x:row r="55" ht="56" customHeight="1">
      <x:c r="A55" s="9" t="str">
        <x:v>i_b98da170d068</x:v>
      </x:c>
      <x:c r="B55" s="9" t="str">
        <x:v>Curtain rod and mounting hardware</x:v>
      </x:c>
      <x:c r="C55" s="9" t="str">
        <x:v>Dark rod visible through curtain eyelets, with left-end mounting hardware and a rounded decorative end.</x:v>
      </x:c>
      <x:c r="D55" s="9" t="str">
        <x:v>unpriced</x:v>
      </x:c>
      <x:c r="E55" s="9" t="str">
        <x:v>unavailable</x:v>
      </x:c>
      <x:c r="F55" s="18"/>
      <x:c r="G55" s="18"/>
      <x:c r="H55" s="18"/>
      <x:c r="I55" s="19"/>
      <x:c r="J55" s="9" t="str">
        <x:v>frames/f00005.jpg</x:v>
      </x:c>
      <x:c r="K55" s="9" t="str">
        <x:v>Unpriced / unavailable</x:v>
      </x:c>
    </x:row>
    <x:row r="56" ht="56" customHeight="1">
      <x:c r="A56" s="9" t="str">
        <x:v>i_6580f9413c0a</x:v>
      </x:c>
      <x:c r="B56" s="9" t="str">
        <x:v>Wall-mounted air conditioner</x:v>
      </x:c>
      <x:c r="C56" s="9" t="str">
        <x:v>White indoor unit with gray trim and a lower air outlet; small labels are not clearly readable.</x:v>
      </x:c>
      <x:c r="D56" s="9" t="str">
        <x:v>unpriced</x:v>
      </x:c>
      <x:c r="E56" s="9" t="str">
        <x:v>unavailable</x:v>
      </x:c>
      <x:c r="F56" s="18"/>
      <x:c r="G56" s="18"/>
      <x:c r="H56" s="18"/>
      <x:c r="I56" s="19"/>
      <x:c r="J56" s="9" t="str">
        <x:v>frames/f00006.jpg</x:v>
      </x:c>
      <x:c r="K56" s="9" t="str">
        <x:v>Unpriced / unavailable</x:v>
      </x:c>
    </x:row>
    <x:row r="57" ht="56" customHeight="1">
      <x:c r="A57" s="9" t="str">
        <x:v>i_d4777d8cba43</x:v>
      </x:c>
      <x:c r="B57" s="9" t="str">
        <x:v>Ceiling fan</x:v>
      </x:c>
      <x:c r="C57" s="9" t="str">
        <x:v>Partially visible ceiling fan with heavily motion-blurred blades.</x:v>
      </x:c>
      <x:c r="D57" s="9" t="str">
        <x:v>unpriced</x:v>
      </x:c>
      <x:c r="E57" s="9" t="str">
        <x:v>unavailable</x:v>
      </x:c>
      <x:c r="F57" s="18"/>
      <x:c r="G57" s="18"/>
      <x:c r="H57" s="18"/>
      <x:c r="I57" s="19"/>
      <x:c r="J57" s="9" t="str">
        <x:v>frames/f00006.jpg</x:v>
      </x:c>
      <x:c r="K57" s="9" t="str">
        <x:v>Unpriced / unavailable</x:v>
      </x:c>
    </x:row>
    <x:row r="58" ht="56" customHeight="1">
      <x:c r="A58" s="9" t="str">
        <x:v>i_45a31ee9a32e</x:v>
      </x:c>
      <x:c r="B58" s="9" t="str">
        <x:v>Recessed ceiling light</x:v>
      </x:c>
      <x:c r="C58" s="9" t="str">
        <x:v>Small circular ceiling fixture with a pale rim.</x:v>
      </x:c>
      <x:c r="D58" s="9" t="str">
        <x:v>unpriced</x:v>
      </x:c>
      <x:c r="E58" s="9" t="str">
        <x:v>unavailable</x:v>
      </x:c>
      <x:c r="F58" s="18"/>
      <x:c r="G58" s="18"/>
      <x:c r="H58" s="18"/>
      <x:c r="I58" s="19"/>
      <x:c r="J58" s="9" t="str">
        <x:v>frames/f00006.jpg</x:v>
      </x:c>
      <x:c r="K58" s="9" t="str">
        <x:v>Unpriced / unavailable</x:v>
      </x:c>
    </x:row>
    <x:row r="59" ht="56" customHeight="1">
      <x:c r="A59" s="9" t="str">
        <x:v>i_0c08d119f3d3</x:v>
      </x:c>
      <x:c r="B59" s="9" t="str">
        <x:v>Curtain panel</x:v>
      </x:c>
      <x:c r="C59" s="9" t="str">
        <x:v>Tan patterned curtain with metal-ring hanging openings; left side cropped.</x:v>
      </x:c>
      <x:c r="D59" s="9" t="str">
        <x:v>unpriced</x:v>
      </x:c>
      <x:c r="E59" s="9" t="str">
        <x:v>unavailable</x:v>
      </x:c>
      <x:c r="F59" s="18"/>
      <x:c r="G59" s="18"/>
      <x:c r="H59" s="18"/>
      <x:c r="I59" s="19"/>
      <x:c r="J59" s="9" t="str">
        <x:v>frames/f00006.jpg</x:v>
      </x:c>
      <x:c r="K59" s="9" t="str">
        <x:v>Unpriced / unavailable</x:v>
      </x:c>
    </x:row>
    <x:row r="60" ht="56" customHeight="1">
      <x:c r="A60" s="9" t="str">
        <x:v>i_dcfe57495d3a</x:v>
      </x:c>
      <x:c r="B60" s="9" t="str">
        <x:v>Curtain panel</x:v>
      </x:c>
      <x:c r="C60" s="9" t="str">
        <x:v>Cream patterned curtain hanging in vertical folds.</x:v>
      </x:c>
      <x:c r="D60" s="9" t="str">
        <x:v>unpriced</x:v>
      </x:c>
      <x:c r="E60" s="9" t="str">
        <x:v>unavailable</x:v>
      </x:c>
      <x:c r="F60" s="18"/>
      <x:c r="G60" s="18"/>
      <x:c r="H60" s="18"/>
      <x:c r="I60" s="19"/>
      <x:c r="J60" s="9" t="str">
        <x:v>frames/f00006.jpg</x:v>
      </x:c>
      <x:c r="K60" s="9" t="str">
        <x:v>Unpriced / unavailable</x:v>
      </x:c>
    </x:row>
    <x:row r="61" ht="56" customHeight="1">
      <x:c r="A61" s="9" t="str">
        <x:v>i_a9e60473b4e8</x:v>
      </x:c>
      <x:c r="B61" s="9" t="str">
        <x:v>Curtain rod</x:v>
      </x:c>
      <x:c r="C61" s="9" t="str">
        <x:v>Dark rod with a visible right finial and wall bracket; mostly obscured by curtains.</x:v>
      </x:c>
      <x:c r="D61" s="9" t="str">
        <x:v>unpriced</x:v>
      </x:c>
      <x:c r="E61" s="9" t="str">
        <x:v>unavailable</x:v>
      </x:c>
      <x:c r="F61" s="18"/>
      <x:c r="G61" s="18"/>
      <x:c r="H61" s="18"/>
      <x:c r="I61" s="19"/>
      <x:c r="J61" s="9" t="str">
        <x:v>frames/f00006.jpg</x:v>
      </x:c>
      <x:c r="K61" s="9" t="str">
        <x:v>Unpriced / unavailable</x:v>
      </x:c>
    </x:row>
    <x:row r="62" ht="56" customHeight="1">
      <x:c r="A62" s="9" t="str">
        <x:v>i_41779beba0c4</x:v>
      </x:c>
      <x:c r="B62" s="9" t="str">
        <x:v>Wall switch panel</x:v>
      </x:c>
      <x:c r="C62" s="9" t="str">
        <x:v>White wall plate with multiple switches and a red rectangular insert; right edge cropped.</x:v>
      </x:c>
      <x:c r="D62" s="9" t="str">
        <x:v>unpriced</x:v>
      </x:c>
      <x:c r="E62" s="9" t="str">
        <x:v>unavailable</x:v>
      </x:c>
      <x:c r="F62" s="18"/>
      <x:c r="G62" s="18"/>
      <x:c r="H62" s="18"/>
      <x:c r="I62" s="19"/>
      <x:c r="J62" s="9" t="str">
        <x:v>frames/f00006.jpg</x:v>
      </x:c>
      <x:c r="K62" s="9" t="str">
        <x:v>Unpriced / unavailable</x:v>
      </x:c>
    </x:row>
    <x:row r="63" ht="56" customHeight="1">
      <x:c r="A63" s="9" t="str">
        <x:v>i_85030b73b050</x:v>
      </x:c>
      <x:c r="B63" s="9" t="str">
        <x:v>Bed</x:v>
      </x:c>
      <x:c r="C63" s="9" t="str">
        <x:v>Bed with a dark brown paneled frame visible beneath bedding; much of the bed is covered or outside the image.</x:v>
      </x:c>
      <x:c r="D63" s="9" t="str">
        <x:v>unpriced</x:v>
      </x:c>
      <x:c r="E63" s="9" t="str">
        <x:v>unavailable</x:v>
      </x:c>
      <x:c r="F63" s="18" t="n">
        <x:v>189.25975561141968</x:v>
      </x:c>
      <x:c r="G63" s="18" t="n">
        <x:v>68.67074966430664</x:v>
      </x:c>
      <x:c r="H63" s="18" t="n">
        <x:v>230.59399127960205</x:v>
      </x:c>
      <x:c r="I63" s="19"/>
      <x:c r="J63" s="9" t="str">
        <x:v>frames/f00006.jpg</x:v>
      </x:c>
      <x:c r="K63" s="9" t="str">
        <x:v>Unpriced / unavailable</x:v>
      </x:c>
    </x:row>
    <x:row r="64" ht="56" customHeight="1">
      <x:c r="A64" s="9" t="str">
        <x:v>i_57cf14dba8f3</x:v>
      </x:c>
      <x:c r="B64" s="9" t="str">
        <x:v>Quilt</x:v>
      </x:c>
      <x:c r="C64" s="9" t="str">
        <x:v>Rumpled quilt with pink floral fabric, a green quilted reverse or border, and pale edging.</x:v>
      </x:c>
      <x:c r="D64" s="9" t="str">
        <x:v>unpriced</x:v>
      </x:c>
      <x:c r="E64" s="9" t="str">
        <x:v>unavailable</x:v>
      </x:c>
      <x:c r="F64" s="18"/>
      <x:c r="G64" s="18"/>
      <x:c r="H64" s="18"/>
      <x:c r="I64" s="19"/>
      <x:c r="J64" s="9" t="str">
        <x:v>frames/f00006.jpg</x:v>
      </x:c>
      <x:c r="K64" s="9" t="str">
        <x:v>Unpriced / unavailable</x:v>
      </x:c>
    </x:row>
    <x:row r="65" ht="56" customHeight="1">
      <x:c r="A65" s="9" t="str">
        <x:v>i_f72c3884ccc7</x:v>
      </x:c>
      <x:c r="B65" s="9" t="str">
        <x:v>Wall decoration</x:v>
      </x:c>
      <x:c r="C65" s="9" t="str">
        <x:v>Partially cropped dark sculptural face decoration with gold-colored accents.</x:v>
      </x:c>
      <x:c r="D65" s="9" t="str">
        <x:v>unpriced</x:v>
      </x:c>
      <x:c r="E65" s="9" t="str">
        <x:v>unavailable</x:v>
      </x:c>
      <x:c r="F65" s="18"/>
      <x:c r="G65" s="18"/>
      <x:c r="H65" s="18"/>
      <x:c r="I65" s="19"/>
      <x:c r="J65" s="9" t="str">
        <x:v>frames/f00008.jpg</x:v>
      </x:c>
      <x:c r="K65" s="9" t="str">
        <x:v>Unpriced / unavailable</x:v>
      </x:c>
    </x:row>
    <x:row r="66" ht="56" customHeight="1">
      <x:c r="A66" s="9" t="str">
        <x:v>i_4875519e5339</x:v>
      </x:c>
      <x:c r="B66" s="9" t="str">
        <x:v>Bed with headboard</x:v>
      </x:c>
      <x:c r="C66" s="9" t="str">
        <x:v>Partially visible bed with a dark brown headboard and frame, largely covered by bedding.</x:v>
      </x:c>
      <x:c r="D66" s="9" t="str">
        <x:v>unpriced</x:v>
      </x:c>
      <x:c r="E66" s="9" t="str">
        <x:v>unavailable</x:v>
      </x:c>
      <x:c r="F66" s="18"/>
      <x:c r="G66" s="18"/>
      <x:c r="H66" s="18"/>
      <x:c r="I66" s="19"/>
      <x:c r="J66" s="9" t="str">
        <x:v>frames/f00008.jpg</x:v>
      </x:c>
      <x:c r="K66" s="9" t="str">
        <x:v>Unpriced / unavailable</x:v>
      </x:c>
    </x:row>
    <x:row r="67" ht="56" customHeight="1">
      <x:c r="A67" s="9" t="str">
        <x:v>i_9aa245cd4b40</x:v>
      </x:c>
      <x:c r="B67" s="9" t="str">
        <x:v>Bedspread</x:v>
      </x:c>
      <x:c r="C67" s="9" t="str">
        <x:v>Cream floral-patterned bed covering draped over the bed, cropped along the left and bottom edges.</x:v>
      </x:c>
      <x:c r="D67" s="9" t="str">
        <x:v>unpriced</x:v>
      </x:c>
      <x:c r="E67" s="9" t="str">
        <x:v>unavailable</x:v>
      </x:c>
      <x:c r="F67" s="18"/>
      <x:c r="G67" s="18"/>
      <x:c r="H67" s="18"/>
      <x:c r="I67" s="19"/>
      <x:c r="J67" s="9" t="str">
        <x:v>frames/f00008.jpg</x:v>
      </x:c>
      <x:c r="K67" s="9" t="str">
        <x:v>Unpriced / unavailable</x:v>
      </x:c>
    </x:row>
    <x:row r="68" ht="56" customHeight="1">
      <x:c r="A68" s="9" t="str">
        <x:v>i_ddf9c4ef602a</x:v>
      </x:c>
      <x:c r="B68" s="9" t="str">
        <x:v>Bottle</x:v>
      </x:c>
      <x:c r="C68" s="9" t="str">
        <x:v>Small translucent bottle with a light cap and green label, partly obscured by bedding.</x:v>
      </x:c>
      <x:c r="D68" s="9" t="str">
        <x:v>unpriced</x:v>
      </x:c>
      <x:c r="E68" s="9" t="str">
        <x:v>unavailable</x:v>
      </x:c>
      <x:c r="F68" s="18"/>
      <x:c r="G68" s="18"/>
      <x:c r="H68" s="18"/>
      <x:c r="I68" s="19"/>
      <x:c r="J68" s="9" t="str">
        <x:v>frames/f00008.jpg</x:v>
      </x:c>
      <x:c r="K68" s="9" t="str">
        <x:v>Unpriced / unavailable</x:v>
      </x:c>
    </x:row>
    <x:row r="69" ht="56" customHeight="1">
      <x:c r="A69" s="9" t="str">
        <x:v>i_6a356af48ab8</x:v>
      </x:c>
      <x:c r="B69" s="9" t="str">
        <x:v>Wall switch and socket panel</x:v>
      </x:c>
      <x:c r="C69" s="9" t="str">
        <x:v>White panel containing an electrical socket, switches, and a rotary control.</x:v>
      </x:c>
      <x:c r="D69" s="9" t="str">
        <x:v>unpriced</x:v>
      </x:c>
      <x:c r="E69" s="9" t="str">
        <x:v>unavailable</x:v>
      </x:c>
      <x:c r="F69" s="18"/>
      <x:c r="G69" s="18"/>
      <x:c r="H69" s="18"/>
      <x:c r="I69" s="19"/>
      <x:c r="J69" s="9" t="str">
        <x:v>frames/f00007.jpg</x:v>
      </x:c>
      <x:c r="K69" s="9" t="str">
        <x:v>Unpriced / unavailable</x:v>
      </x:c>
    </x:row>
    <x:row r="70" ht="56" customHeight="1">
      <x:c r="A70" s="9" t="str">
        <x:v>i_c817576cd9b0</x:v>
      </x:c>
      <x:c r="B70" s="9" t="str">
        <x:v>Wall-mounted fitting</x:v>
      </x:c>
      <x:c r="C70" s="9" t="str">
        <x:v>Small brown and gray fitting near the floor; function is unclear.</x:v>
      </x:c>
      <x:c r="D70" s="9" t="str">
        <x:v>unpriced</x:v>
      </x:c>
      <x:c r="E70" s="9" t="str">
        <x:v>unavailable</x:v>
      </x:c>
      <x:c r="F70" s="18"/>
      <x:c r="G70" s="18"/>
      <x:c r="H70" s="18"/>
      <x:c r="I70" s="19"/>
      <x:c r="J70" s="9" t="str">
        <x:v>frames/f00008.jpg</x:v>
      </x:c>
      <x:c r="K70" s="9" t="str">
        <x:v>Unpriced / unavailable</x:v>
      </x:c>
    </x:row>
    <x:row r="71" ht="56" customHeight="1">
      <x:c r="A71" s="9" t="str">
        <x:v>i_0ce8fd1aae86</x:v>
      </x:c>
      <x:c r="B71" s="9" t="str">
        <x:v>Door and doorframe</x:v>
      </x:c>
      <x:c r="C71" s="9" t="str">
        <x:v>Narrow cropped view of a brown door and surrounding frame along the right edge.</x:v>
      </x:c>
      <x:c r="D71" s="9" t="str">
        <x:v>unpriced</x:v>
      </x:c>
      <x:c r="E71" s="9" t="str">
        <x:v>unavailable</x:v>
      </x:c>
      <x:c r="F71" s="18"/>
      <x:c r="G71" s="18"/>
      <x:c r="H71" s="18"/>
      <x:c r="I71" s="19"/>
      <x:c r="J71" s="9" t="str">
        <x:v>frames/f00008.jpg</x:v>
      </x:c>
      <x:c r="K71" s="9" t="str">
        <x:v>Unpriced / unavailable</x:v>
      </x:c>
    </x:row>
    <x:row r="72" ht="56" customHeight="1">
      <x:c r="A72" s="9" t="str">
        <x:v>i_d5f3d5ef6701</x:v>
      </x:c>
      <x:c r="B72" s="9" t="str">
        <x:v>Bed with headboard</x:v>
      </x:c>
      <x:c r="C72" s="9" t="str">
        <x:v>Dark brown bed frame with a tall headboard and recessed area behind the pillows; much of the frame is covered by bedding.</x:v>
      </x:c>
      <x:c r="D72" s="9" t="str">
        <x:v>unpriced</x:v>
      </x:c>
      <x:c r="E72" s="9" t="str">
        <x:v>unavailable</x:v>
      </x:c>
      <x:c r="F72" s="18"/>
      <x:c r="G72" s="18"/>
      <x:c r="H72" s="18"/>
      <x:c r="I72" s="19"/>
      <x:c r="J72" s="9" t="str">
        <x:v>frames/f00007.jpg</x:v>
      </x:c>
      <x:c r="K72" s="9" t="str">
        <x:v>Unpriced / unavailable</x:v>
      </x:c>
    </x:row>
    <x:row r="73" ht="56" customHeight="1">
      <x:c r="A73" s="9" t="str">
        <x:v>i_9c0771c81a0d</x:v>
      </x:c>
      <x:c r="B73" s="9" t="str">
        <x:v>Pillow</x:v>
      </x:c>
      <x:c r="C73" s="9" t="str">
        <x:v>Left pillow with beige floral-patterned covering.</x:v>
      </x:c>
      <x:c r="D73" s="9" t="str">
        <x:v>unpriced</x:v>
      </x:c>
      <x:c r="E73" s="9" t="str">
        <x:v>unavailable</x:v>
      </x:c>
      <x:c r="F73" s="18"/>
      <x:c r="G73" s="18"/>
      <x:c r="H73" s="18"/>
      <x:c r="I73" s="19"/>
      <x:c r="J73" s="9" t="str">
        <x:v>frames/f00007.jpg</x:v>
      </x:c>
      <x:c r="K73" s="9" t="str">
        <x:v>Unpriced / unavailable</x:v>
      </x:c>
    </x:row>
    <x:row r="74" ht="56" customHeight="1">
      <x:c r="A74" s="9" t="str">
        <x:v>i_da868d364f55</x:v>
      </x:c>
      <x:c r="B74" s="9" t="str">
        <x:v>Pillow</x:v>
      </x:c>
      <x:c r="C74" s="9" t="str">
        <x:v>Right pillow with beige floral-patterned covering.</x:v>
      </x:c>
      <x:c r="D74" s="9" t="str">
        <x:v>unpriced</x:v>
      </x:c>
      <x:c r="E74" s="9" t="str">
        <x:v>unavailable</x:v>
      </x:c>
      <x:c r="F74" s="18"/>
      <x:c r="G74" s="18"/>
      <x:c r="H74" s="18"/>
      <x:c r="I74" s="19"/>
      <x:c r="J74" s="9" t="str">
        <x:v>frames/f00007.jpg</x:v>
      </x:c>
      <x:c r="K74" s="9" t="str">
        <x:v>Unpriced / unavailable</x:v>
      </x:c>
    </x:row>
    <x:row r="75" ht="56" customHeight="1">
      <x:c r="A75" s="9" t="str">
        <x:v>i_e369bb8d153a</x:v>
      </x:c>
      <x:c r="B75" s="9" t="str">
        <x:v>Bedspread</x:v>
      </x:c>
      <x:c r="C75" s="9" t="str">
        <x:v>Beige floral bed covering, partly covered by the foreground quilt.</x:v>
      </x:c>
      <x:c r="D75" s="9" t="str">
        <x:v>unpriced</x:v>
      </x:c>
      <x:c r="E75" s="9" t="str">
        <x:v>unavailable</x:v>
      </x:c>
      <x:c r="F75" s="18"/>
      <x:c r="G75" s="18"/>
      <x:c r="H75" s="18"/>
      <x:c r="I75" s="19"/>
      <x:c r="J75" s="9" t="str">
        <x:v>frames/f00007.jpg</x:v>
      </x:c>
      <x:c r="K75" s="9" t="str">
        <x:v>Unpriced / unavailable</x:v>
      </x:c>
    </x:row>
    <x:row r="76" ht="56" customHeight="1">
      <x:c r="A76" s="9" t="str">
        <x:v>i_48bdd0d29a3d</x:v>
      </x:c>
      <x:c r="B76" s="9" t="str">
        <x:v>Quilt</x:v>
      </x:c>
      <x:c r="C76" s="9" t="str">
        <x:v>White quilt with pink rose motifs and a green border, draped across the foot of the bed and cropped by the image.</x:v>
      </x:c>
      <x:c r="D76" s="9" t="str">
        <x:v>unpriced</x:v>
      </x:c>
      <x:c r="E76" s="9" t="str">
        <x:v>unavailable</x:v>
      </x:c>
      <x:c r="F76" s="18"/>
      <x:c r="G76" s="18"/>
      <x:c r="H76" s="18"/>
      <x:c r="I76" s="19"/>
      <x:c r="J76" s="9" t="str">
        <x:v>frames/f00007.jpg</x:v>
      </x:c>
      <x:c r="K76" s="9" t="str">
        <x:v>Unpriced / unavailable</x:v>
      </x:c>
    </x:row>
    <x:row r="77" ht="56" customHeight="1">
      <x:c r="A77" s="9" t="str">
        <x:v>i_170bfdec92a7</x:v>
      </x:c>
      <x:c r="B77" s="9" t="str">
        <x:v>Decorative wall relief</x:v>
      </x:c>
      <x:c r="C77" s="9" t="str">
        <x:v>Dark sculptural wall plaque depicting a Buddha face with gold-colored decorative details.</x:v>
      </x:c>
      <x:c r="D77" s="9" t="str">
        <x:v>unpriced</x:v>
      </x:c>
      <x:c r="E77" s="9" t="str">
        <x:v>unavailable</x:v>
      </x:c>
      <x:c r="F77" s="18"/>
      <x:c r="G77" s="18"/>
      <x:c r="H77" s="18"/>
      <x:c r="I77" s="19"/>
      <x:c r="J77" s="9" t="str">
        <x:v>frames/f00007.jpg</x:v>
      </x:c>
      <x:c r="K77" s="9" t="str">
        <x:v>Unpriced / unavailable</x:v>
      </x:c>
    </x:row>
    <x:row r="78" ht="56" customHeight="1">
      <x:c r="A78" s="9" t="str">
        <x:v>i_8e565ade1d3f</x:v>
      </x:c>
      <x:c r="B78" s="9" t="str">
        <x:v>Capped bottle</x:v>
      </x:c>
      <x:c r="C78" s="9" t="str">
        <x:v>Small bottle with a pale cap and green label, partly hidden beside the right pillow.</x:v>
      </x:c>
      <x:c r="D78" s="9" t="str">
        <x:v>unpriced</x:v>
      </x:c>
      <x:c r="E78" s="9" t="str">
        <x:v>unavailable</x:v>
      </x:c>
      <x:c r="F78" s="18"/>
      <x:c r="G78" s="18"/>
      <x:c r="H78" s="18"/>
      <x:c r="I78" s="19"/>
      <x:c r="J78" s="9" t="str">
        <x:v>frames/f00007.jpg</x:v>
      </x:c>
      <x:c r="K78" s="9" t="str">
        <x:v>Unpriced / unavailable</x:v>
      </x:c>
    </x:row>
    <x:row r="79" ht="56" customHeight="1">
      <x:c r="A79" s="9" t="str">
        <x:v>i_d2c192e0f061</x:v>
      </x:c>
      <x:c r="B79" s="9" t="str">
        <x:v>Small container</x:v>
      </x:c>
      <x:c r="C79" s="9" t="str">
        <x:v>Only a reflective rim and upper portion are visible behind the pillows; exact container type is unclear.</x:v>
      </x:c>
      <x:c r="D79" s="9" t="str">
        <x:v>unpriced</x:v>
      </x:c>
      <x:c r="E79" s="9" t="str">
        <x:v>unavailable</x:v>
      </x:c>
      <x:c r="F79" s="18"/>
      <x:c r="G79" s="18"/>
      <x:c r="H79" s="18"/>
      <x:c r="I79" s="19"/>
      <x:c r="J79" s="9" t="str">
        <x:v>frames/f00007.jpg</x:v>
      </x:c>
      <x:c r="K79" s="9" t="str">
        <x:v>Unpriced / unavailable</x:v>
      </x:c>
    </x:row>
    <x:row r="80" ht="56" customHeight="1">
      <x:c r="A80" s="9" t="str">
        <x:v>i_e08bc9f7038c</x:v>
      </x:c>
      <x:c r="B80" s="9" t="str">
        <x:v>Low wall-mounted fitting</x:v>
      </x:c>
      <x:c r="C80" s="9" t="str">
        <x:v>Small brown rectangular fitting near the floor with a projecting lower portion; function is unclear.</x:v>
      </x:c>
      <x:c r="D80" s="9" t="str">
        <x:v>unpriced</x:v>
      </x:c>
      <x:c r="E80" s="9" t="str">
        <x:v>unavailable</x:v>
      </x:c>
      <x:c r="F80" s="18"/>
      <x:c r="G80" s="18"/>
      <x:c r="H80" s="18"/>
      <x:c r="I80" s="19"/>
      <x:c r="J80" s="9" t="str">
        <x:v>frames/f00007.jpg</x:v>
      </x:c>
      <x:c r="K80" s="9" t="str">
        <x:v>Unpriced / unavailable</x:v>
      </x:c>
    </x:row>
    <x:row r="81" ht="56" customHeight="1">
      <x:c r="A81" s="9" t="str">
        <x:v>i_18770ed7f99b</x:v>
      </x:c>
      <x:c r="B81" s="9" t="str">
        <x:v>Low cabinet</x:v>
      </x:c>
      <x:c r="C81" s="9" t="str">
        <x:v>Dark brown cabinet with a flat top and visible front panels; left and lower portions are cropped. No separate shelf level is visible.</x:v>
      </x:c>
      <x:c r="D81" s="9" t="str">
        <x:v>unpriced</x:v>
      </x:c>
      <x:c r="E81" s="9" t="str">
        <x:v>unavailable</x:v>
      </x:c>
      <x:c r="F81" s="18"/>
      <x:c r="G81" s="18"/>
      <x:c r="H81" s="18"/>
      <x:c r="I81" s="19"/>
      <x:c r="J81" s="9" t="str">
        <x:v>frames/f00009.jpg</x:v>
      </x:c>
      <x:c r="K81" s="9" t="str">
        <x:v>Unpriced / unavailable</x:v>
      </x:c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 ht="24" customHeight="1">
      <x:c r="A84" s="2" t="str">
        <x:v>Independent item list — empty. Enumerate all actual items, including missed items.</x:v>
      </x:c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 ht="34" customHeight="1">
      <x:c r="A86" s="8" t="str">
        <x:v>Physical ID</x:v>
      </x:c>
      <x:c r="B86" s="8" t="str">
        <x:v>True category</x:v>
      </x:c>
      <x:c r="C86" s="8" t="str">
        <x:v>Matched system ID</x:v>
      </x:c>
      <x:c r="D86" s="8" t="str">
        <x:v>Correct category?</x:v>
      </x:c>
      <x:c r="E86" s="8" t="str">
        <x:v>Independent notes</x:v>
      </x:c>
      <x:c r="F86" s="2"/>
      <x:c r="G86" s="2"/>
      <x:c r="H86" s="2"/>
      <x:c r="I86" s="2"/>
      <x:c r="J86" s="2"/>
      <x:c r="K86" s="2"/>
    </x:row>
    <x:row r="87" ht="24" customHeight="1">
      <x:c r="A87" s="13"/>
      <x:c r="B87" s="13"/>
      <x:c r="C87" s="13"/>
      <x:c r="D87" s="13"/>
      <x:c r="E87" s="13"/>
      <x:c r="F87" s="2"/>
      <x:c r="G87" s="2"/>
      <x:c r="H87" s="2"/>
      <x:c r="I87" s="2"/>
      <x:c r="J87" s="2"/>
      <x:c r="K87" s="2"/>
    </x:row>
    <x:row r="88" ht="24" customHeight="1">
      <x:c r="A88" s="13"/>
      <x:c r="B88" s="13"/>
      <x:c r="C88" s="13"/>
      <x:c r="D88" s="13"/>
      <x:c r="E88" s="13"/>
      <x:c r="F88" s="2"/>
      <x:c r="G88" s="2"/>
      <x:c r="H88" s="2"/>
      <x:c r="I88" s="2"/>
      <x:c r="J88" s="2"/>
      <x:c r="K88" s="2"/>
    </x:row>
    <x:row r="89" ht="24" customHeight="1">
      <x:c r="A89" s="13"/>
      <x:c r="B89" s="13"/>
      <x:c r="C89" s="13"/>
      <x:c r="D89" s="13"/>
      <x:c r="E89" s="13"/>
      <x:c r="F89" s="2"/>
      <x:c r="G89" s="2"/>
      <x:c r="H89" s="2"/>
      <x:c r="I89" s="2"/>
      <x:c r="J89" s="2"/>
      <x:c r="K89" s="2"/>
    </x:row>
    <x:row r="90" ht="24" customHeight="1">
      <x:c r="A90" s="13"/>
      <x:c r="B90" s="13"/>
      <x:c r="C90" s="13"/>
      <x:c r="D90" s="13"/>
      <x:c r="E90" s="13"/>
      <x:c r="F90" s="2"/>
      <x:c r="G90" s="2"/>
      <x:c r="H90" s="2"/>
      <x:c r="I90" s="2"/>
      <x:c r="J90" s="2"/>
      <x:c r="K90" s="2"/>
    </x:row>
    <x:row r="91" ht="24" customHeight="1">
      <x:c r="A91" s="13"/>
      <x:c r="B91" s="13"/>
      <x:c r="C91" s="13"/>
      <x:c r="D91" s="13"/>
      <x:c r="E91" s="13"/>
      <x:c r="F91" s="2"/>
      <x:c r="G91" s="2"/>
      <x:c r="H91" s="2"/>
      <x:c r="I91" s="2"/>
      <x:c r="J91" s="2"/>
      <x:c r="K91" s="2"/>
    </x:row>
    <x:row r="92" ht="24" customHeight="1">
      <x:c r="A92" s="13"/>
      <x:c r="B92" s="13"/>
      <x:c r="C92" s="13"/>
      <x:c r="D92" s="13"/>
      <x:c r="E92" s="13"/>
      <x:c r="F92" s="2"/>
      <x:c r="G92" s="2"/>
      <x:c r="H92" s="2"/>
      <x:c r="I92" s="2"/>
      <x:c r="J92" s="2"/>
      <x:c r="K92" s="2"/>
    </x:row>
    <x:row r="93" ht="24" customHeight="1">
      <x:c r="A93" s="13"/>
      <x:c r="B93" s="13"/>
      <x:c r="C93" s="13"/>
      <x:c r="D93" s="13"/>
      <x:c r="E93" s="13"/>
      <x:c r="F93" s="2"/>
      <x:c r="G93" s="2"/>
      <x:c r="H93" s="2"/>
      <x:c r="I93" s="2"/>
      <x:c r="J93" s="2"/>
      <x:c r="K93" s="2"/>
    </x:row>
    <x:row r="94" ht="24" customHeight="1">
      <x:c r="A94" s="13"/>
      <x:c r="B94" s="13"/>
      <x:c r="C94" s="13"/>
      <x:c r="D94" s="13"/>
      <x:c r="E94" s="13"/>
      <x:c r="F94" s="2"/>
      <x:c r="G94" s="2"/>
      <x:c r="H94" s="2"/>
      <x:c r="I94" s="2"/>
      <x:c r="J94" s="2"/>
      <x:c r="K94" s="2"/>
    </x:row>
    <x:row r="95" ht="24" customHeight="1">
      <x:c r="A95" s="13"/>
      <x:c r="B95" s="13"/>
      <x:c r="C95" s="13"/>
      <x:c r="D95" s="13"/>
      <x:c r="E95" s="13"/>
      <x:c r="F95" s="2"/>
      <x:c r="G95" s="2"/>
      <x:c r="H95" s="2"/>
      <x:c r="I95" s="2"/>
      <x:c r="J95" s="2"/>
      <x:c r="K95" s="2"/>
    </x:row>
    <x:row r="96" ht="24" customHeight="1">
      <x:c r="A96" s="13"/>
      <x:c r="B96" s="13"/>
      <x:c r="C96" s="13"/>
      <x:c r="D96" s="13"/>
      <x:c r="E96" s="13"/>
      <x:c r="F96" s="2"/>
      <x:c r="G96" s="2"/>
      <x:c r="H96" s="2"/>
      <x:c r="I96" s="2"/>
      <x:c r="J96" s="2"/>
      <x:c r="K96" s="2"/>
    </x:row>
    <x:row r="97" ht="24" customHeight="1">
      <x:c r="A97" s="13"/>
      <x:c r="B97" s="13"/>
      <x:c r="C97" s="13"/>
      <x:c r="D97" s="13"/>
      <x:c r="E97" s="13"/>
      <x:c r="F97" s="2"/>
      <x:c r="G97" s="2"/>
      <x:c r="H97" s="2"/>
      <x:c r="I97" s="2"/>
      <x:c r="J97" s="2"/>
      <x:c r="K97" s="2"/>
    </x:row>
    <x:row r="98" ht="24" customHeight="1">
      <x:c r="A98" s="13"/>
      <x:c r="B98" s="13"/>
      <x:c r="C98" s="13"/>
      <x:c r="D98" s="13"/>
      <x:c r="E98" s="13"/>
      <x:c r="F98" s="2"/>
      <x:c r="G98" s="2"/>
      <x:c r="H98" s="2"/>
      <x:c r="I98" s="2"/>
      <x:c r="J98" s="2"/>
      <x:c r="K98" s="2"/>
    </x:row>
    <x:row r="99" ht="24" customHeight="1">
      <x:c r="A99" s="13"/>
      <x:c r="B99" s="13"/>
      <x:c r="C99" s="13"/>
      <x:c r="D99" s="13"/>
      <x:c r="E99" s="13"/>
      <x:c r="F99" s="2"/>
      <x:c r="G99" s="2"/>
      <x:c r="H99" s="2"/>
      <x:c r="I99" s="2"/>
      <x:c r="J99" s="2"/>
      <x:c r="K99" s="2"/>
    </x:row>
    <x:row r="100" ht="24" customHeight="1">
      <x:c r="A100" s="13"/>
      <x:c r="B100" s="13"/>
      <x:c r="C100" s="13"/>
      <x:c r="D100" s="13"/>
      <x:c r="E100" s="13"/>
      <x:c r="F100" s="2"/>
      <x:c r="G100" s="2"/>
      <x:c r="H100" s="2"/>
      <x:c r="I100" s="2"/>
      <x:c r="J100" s="2"/>
      <x:c r="K100" s="2"/>
    </x:row>
    <x:row r="101" ht="24" customHeight="1">
      <x:c r="A101" s="13"/>
      <x:c r="B101" s="13"/>
      <x:c r="C101" s="13"/>
      <x:c r="D101" s="13"/>
      <x:c r="E101" s="13"/>
      <x:c r="F101" s="2"/>
      <x:c r="G101" s="2"/>
      <x:c r="H101" s="2"/>
      <x:c r="I101" s="2"/>
      <x:c r="J101" s="2"/>
      <x:c r="K101" s="2"/>
    </x:row>
    <x:row r="102" ht="24" customHeight="1">
      <x:c r="A102" s="13"/>
      <x:c r="B102" s="13"/>
      <x:c r="C102" s="13"/>
      <x:c r="D102" s="13"/>
      <x:c r="E102" s="13"/>
      <x:c r="F102" s="2"/>
      <x:c r="G102" s="2"/>
      <x:c r="H102" s="2"/>
      <x:c r="I102" s="2"/>
      <x:c r="J102" s="2"/>
      <x:c r="K102" s="2"/>
    </x:row>
    <x:row r="103" ht="24" customHeight="1">
      <x:c r="A103" s="13"/>
      <x:c r="B103" s="13"/>
      <x:c r="C103" s="13"/>
      <x:c r="D103" s="13"/>
      <x:c r="E103" s="13"/>
      <x:c r="F103" s="2"/>
      <x:c r="G103" s="2"/>
      <x:c r="H103" s="2"/>
      <x:c r="I103" s="2"/>
      <x:c r="J103" s="2"/>
      <x:c r="K103" s="2"/>
    </x:row>
    <x:row r="104" ht="24" customHeight="1">
      <x:c r="A104" s="13"/>
      <x:c r="B104" s="13"/>
      <x:c r="C104" s="13"/>
      <x:c r="D104" s="13"/>
      <x:c r="E104" s="13"/>
      <x:c r="F104" s="2"/>
      <x:c r="G104" s="2"/>
      <x:c r="H104" s="2"/>
      <x:c r="I104" s="2"/>
      <x:c r="J104" s="2"/>
      <x:c r="K104" s="2"/>
    </x:row>
    <x:row r="105" ht="24" customHeight="1">
      <x:c r="A105" s="13"/>
      <x:c r="B105" s="13"/>
      <x:c r="C105" s="13"/>
      <x:c r="D105" s="13"/>
      <x:c r="E105" s="13"/>
      <x:c r="F105" s="2"/>
      <x:c r="G105" s="2"/>
      <x:c r="H105" s="2"/>
      <x:c r="I105" s="2"/>
      <x:c r="J105" s="2"/>
      <x:c r="K105" s="2"/>
    </x:row>
    <x:row r="106" ht="24" customHeight="1">
      <x:c r="A106" s="13"/>
      <x:c r="B106" s="13"/>
      <x:c r="C106" s="13"/>
      <x:c r="D106" s="13"/>
      <x:c r="E106" s="13"/>
      <x:c r="F106" s="2"/>
      <x:c r="G106" s="2"/>
      <x:c r="H106" s="2"/>
      <x:c r="I106" s="2"/>
      <x:c r="J106" s="2"/>
      <x:c r="K106" s="2"/>
    </x:row>
    <x:row r="107" ht="24" customHeight="1">
      <x:c r="A107" s="13"/>
      <x:c r="B107" s="13"/>
      <x:c r="C107" s="13"/>
      <x:c r="D107" s="13"/>
      <x:c r="E107" s="13"/>
      <x:c r="F107" s="2"/>
      <x:c r="G107" s="2"/>
      <x:c r="H107" s="2"/>
      <x:c r="I107" s="2"/>
      <x:c r="J107" s="2"/>
      <x:c r="K107" s="2"/>
    </x:row>
    <x:row r="108" ht="24" customHeight="1">
      <x:c r="A108" s="13"/>
      <x:c r="B108" s="13"/>
      <x:c r="C108" s="13"/>
      <x:c r="D108" s="13"/>
      <x:c r="E108" s="13"/>
      <x:c r="F108" s="2"/>
      <x:c r="G108" s="2"/>
      <x:c r="H108" s="2"/>
      <x:c r="I108" s="2"/>
      <x:c r="J108" s="2"/>
      <x:c r="K108" s="2"/>
    </x:row>
    <x:row r="109" ht="24" customHeight="1">
      <x:c r="A109" s="13"/>
      <x:c r="B109" s="13"/>
      <x:c r="C109" s="13"/>
      <x:c r="D109" s="13"/>
      <x:c r="E109" s="13"/>
      <x:c r="F109" s="2"/>
      <x:c r="G109" s="2"/>
      <x:c r="H109" s="2"/>
      <x:c r="I109" s="2"/>
      <x:c r="J109" s="2"/>
      <x:c r="K109" s="2"/>
    </x:row>
    <x:row r="110" ht="24" customHeight="1">
      <x:c r="A110" s="13"/>
      <x:c r="B110" s="13"/>
      <x:c r="C110" s="13"/>
      <x:c r="D110" s="13"/>
      <x:c r="E110" s="13"/>
      <x:c r="F110" s="2"/>
      <x:c r="G110" s="2"/>
      <x:c r="H110" s="2"/>
      <x:c r="I110" s="2"/>
      <x:c r="J110" s="2"/>
      <x:c r="K110" s="2"/>
    </x:row>
    <x:row r="111" ht="24" customHeight="1">
      <x:c r="A111" s="13"/>
      <x:c r="B111" s="13"/>
      <x:c r="C111" s="13"/>
      <x:c r="D111" s="13"/>
      <x:c r="E111" s="13"/>
      <x:c r="F111" s="2"/>
      <x:c r="G111" s="2"/>
      <x:c r="H111" s="2"/>
      <x:c r="I111" s="2"/>
      <x:c r="J111" s="2"/>
      <x:c r="K111" s="2"/>
    </x:row>
    <x:row r="112" ht="24" customHeight="1">
      <x:c r="A112" s="13"/>
      <x:c r="B112" s="13"/>
      <x:c r="C112" s="13"/>
      <x:c r="D112" s="13"/>
      <x:c r="E112" s="13"/>
      <x:c r="F112" s="2"/>
      <x:c r="G112" s="2"/>
      <x:c r="H112" s="2"/>
      <x:c r="I112" s="2"/>
      <x:c r="J112" s="2"/>
      <x:c r="K112" s="2"/>
    </x:row>
    <x:row r="113" ht="24" customHeight="1">
      <x:c r="A113" s="13"/>
      <x:c r="B113" s="13"/>
      <x:c r="C113" s="13"/>
      <x:c r="D113" s="13"/>
      <x:c r="E113" s="13"/>
      <x:c r="F113" s="2"/>
      <x:c r="G113" s="2"/>
      <x:c r="H113" s="2"/>
      <x:c r="I113" s="2"/>
      <x:c r="J113" s="2"/>
      <x:c r="K113" s="2"/>
    </x:row>
    <x:row r="114" ht="24" customHeight="1">
      <x:c r="A114" s="13"/>
      <x:c r="B114" s="13"/>
      <x:c r="C114" s="13"/>
      <x:c r="D114" s="13"/>
      <x:c r="E114" s="13"/>
      <x:c r="F114" s="2"/>
      <x:c r="G114" s="2"/>
      <x:c r="H114" s="2"/>
      <x:c r="I114" s="2"/>
      <x:c r="J114" s="2"/>
      <x:c r="K114" s="2"/>
    </x:row>
    <x:row r="115" ht="24" customHeight="1">
      <x:c r="A115" s="13"/>
      <x:c r="B115" s="13"/>
      <x:c r="C115" s="13"/>
      <x:c r="D115" s="13"/>
      <x:c r="E115" s="13"/>
      <x:c r="F115" s="2"/>
      <x:c r="G115" s="2"/>
      <x:c r="H115" s="2"/>
      <x:c r="I115" s="2"/>
      <x:c r="J115" s="2"/>
      <x:c r="K115" s="2"/>
    </x:row>
    <x:row r="116" ht="24" customHeight="1">
      <x:c r="A116" s="13"/>
      <x:c r="B116" s="13"/>
      <x:c r="C116" s="13"/>
      <x:c r="D116" s="13"/>
      <x:c r="E116" s="13"/>
      <x:c r="F116" s="2"/>
      <x:c r="G116" s="2"/>
      <x:c r="H116" s="2"/>
      <x:c r="I116" s="2"/>
      <x:c r="J116" s="2"/>
      <x:c r="K116" s="2"/>
    </x:row>
    <x:row r="117" ht="24" customHeight="1">
      <x:c r="A117" s="13"/>
      <x:c r="B117" s="13"/>
      <x:c r="C117" s="13"/>
      <x:c r="D117" s="13"/>
      <x:c r="E117" s="13"/>
      <x:c r="F117" s="2"/>
      <x:c r="G117" s="2"/>
      <x:c r="H117" s="2"/>
      <x:c r="I117" s="2"/>
      <x:c r="J117" s="2"/>
      <x:c r="K117" s="2"/>
    </x:row>
    <x:row r="118" ht="24" customHeight="1">
      <x:c r="A118" s="13"/>
      <x:c r="B118" s="13"/>
      <x:c r="C118" s="13"/>
      <x:c r="D118" s="13"/>
      <x:c r="E118" s="13"/>
      <x:c r="F118" s="2"/>
      <x:c r="G118" s="2"/>
      <x:c r="H118" s="2"/>
      <x:c r="I118" s="2"/>
      <x:c r="J118" s="2"/>
      <x:c r="K118" s="2"/>
    </x:row>
    <x:row r="119" ht="24" customHeight="1">
      <x:c r="A119" s="13"/>
      <x:c r="B119" s="13"/>
      <x:c r="C119" s="13"/>
      <x:c r="D119" s="13"/>
      <x:c r="E119" s="13"/>
      <x:c r="F119" s="2"/>
      <x:c r="G119" s="2"/>
      <x:c r="H119" s="2"/>
      <x:c r="I119" s="2"/>
      <x:c r="J119" s="2"/>
      <x:c r="K119" s="2"/>
    </x:row>
    <x:row r="120" ht="24" customHeight="1">
      <x:c r="A120" s="13"/>
      <x:c r="B120" s="13"/>
      <x:c r="C120" s="13"/>
      <x:c r="D120" s="13"/>
      <x:c r="E120" s="13"/>
      <x:c r="F120" s="2"/>
      <x:c r="G120" s="2"/>
      <x:c r="H120" s="2"/>
      <x:c r="I120" s="2"/>
      <x:c r="J120" s="2"/>
      <x:c r="K120" s="2"/>
    </x:row>
    <x:row r="121" ht="24" customHeight="1">
      <x:c r="A121" s="13"/>
      <x:c r="B121" s="13"/>
      <x:c r="C121" s="13"/>
      <x:c r="D121" s="13"/>
      <x:c r="E121" s="13"/>
      <x:c r="F121" s="2"/>
      <x:c r="G121" s="2"/>
      <x:c r="H121" s="2"/>
      <x:c r="I121" s="2"/>
      <x:c r="J121" s="2"/>
      <x:c r="K121" s="2"/>
    </x:row>
    <x:row r="122" ht="24" customHeight="1">
      <x:c r="A122" s="13"/>
      <x:c r="B122" s="13"/>
      <x:c r="C122" s="13"/>
      <x:c r="D122" s="13"/>
      <x:c r="E122" s="13"/>
      <x:c r="F122" s="2"/>
      <x:c r="G122" s="2"/>
      <x:c r="H122" s="2"/>
      <x:c r="I122" s="2"/>
      <x:c r="J122" s="2"/>
      <x:c r="K122" s="2"/>
    </x:row>
    <x:row r="123" ht="24" customHeight="1">
      <x:c r="A123" s="13"/>
      <x:c r="B123" s="13"/>
      <x:c r="C123" s="13"/>
      <x:c r="D123" s="13"/>
      <x:c r="E123" s="13"/>
      <x:c r="F123" s="2"/>
      <x:c r="G123" s="2"/>
      <x:c r="H123" s="2"/>
      <x:c r="I123" s="2"/>
      <x:c r="J123" s="2"/>
      <x:c r="K123" s="2"/>
    </x:row>
    <x:row r="124" ht="24" customHeight="1">
      <x:c r="A124" s="13"/>
      <x:c r="B124" s="13"/>
      <x:c r="C124" s="13"/>
      <x:c r="D124" s="13"/>
      <x:c r="E124" s="13"/>
      <x:c r="F124" s="2"/>
      <x:c r="G124" s="2"/>
      <x:c r="H124" s="2"/>
      <x:c r="I124" s="2"/>
      <x:c r="J124" s="2"/>
      <x:c r="K124" s="2"/>
    </x:row>
    <x:row r="125" ht="24" customHeight="1">
      <x:c r="A125" s="13"/>
      <x:c r="B125" s="13"/>
      <x:c r="C125" s="13"/>
      <x:c r="D125" s="13"/>
      <x:c r="E125" s="13"/>
      <x:c r="F125" s="2"/>
      <x:c r="G125" s="2"/>
      <x:c r="H125" s="2"/>
      <x:c r="I125" s="2"/>
      <x:c r="J125" s="2"/>
      <x:c r="K125" s="2"/>
    </x:row>
    <x:row r="126" ht="24" customHeight="1">
      <x:c r="A126" s="13"/>
      <x:c r="B126" s="13"/>
      <x:c r="C126" s="13"/>
      <x:c r="D126" s="13"/>
      <x:c r="E126" s="13"/>
      <x:c r="F126" s="2"/>
      <x:c r="G126" s="2"/>
      <x:c r="H126" s="2"/>
      <x:c r="I126" s="2"/>
      <x:c r="J126" s="2"/>
      <x:c r="K126" s="2"/>
    </x:row>
    <x:row r="127" ht="24" customHeight="1">
      <x:c r="A127" s="13"/>
      <x:c r="B127" s="13"/>
      <x:c r="C127" s="13"/>
      <x:c r="D127" s="13"/>
      <x:c r="E127" s="13"/>
      <x:c r="F127" s="2"/>
      <x:c r="G127" s="2"/>
      <x:c r="H127" s="2"/>
      <x:c r="I127" s="2"/>
      <x:c r="J127" s="2"/>
      <x:c r="K127" s="2"/>
    </x:row>
    <x:row r="128" ht="24" customHeight="1">
      <x:c r="A128" s="13"/>
      <x:c r="B128" s="13"/>
      <x:c r="C128" s="13"/>
      <x:c r="D128" s="13"/>
      <x:c r="E128" s="13"/>
      <x:c r="F128" s="2"/>
      <x:c r="G128" s="2"/>
      <x:c r="H128" s="2"/>
      <x:c r="I128" s="2"/>
      <x:c r="J128" s="2"/>
      <x:c r="K128" s="2"/>
    </x:row>
    <x:row r="129" ht="24" customHeight="1">
      <x:c r="A129" s="13"/>
      <x:c r="B129" s="13"/>
      <x:c r="C129" s="13"/>
      <x:c r="D129" s="13"/>
      <x:c r="E129" s="13"/>
      <x:c r="F129" s="2"/>
      <x:c r="G129" s="2"/>
      <x:c r="H129" s="2"/>
      <x:c r="I129" s="2"/>
      <x:c r="J129" s="2"/>
      <x:c r="K129" s="2"/>
    </x:row>
    <x:row r="130" ht="24" customHeight="1">
      <x:c r="A130" s="13"/>
      <x:c r="B130" s="13"/>
      <x:c r="C130" s="13"/>
      <x:c r="D130" s="13"/>
      <x:c r="E130" s="13"/>
      <x:c r="F130" s="2"/>
      <x:c r="G130" s="2"/>
      <x:c r="H130" s="2"/>
      <x:c r="I130" s="2"/>
      <x:c r="J130" s="2"/>
      <x:c r="K130" s="2"/>
    </x:row>
    <x:row r="131" ht="24" customHeight="1">
      <x:c r="A131" s="13"/>
      <x:c r="B131" s="13"/>
      <x:c r="C131" s="13"/>
      <x:c r="D131" s="13"/>
      <x:c r="E131" s="13"/>
      <x:c r="F131" s="2"/>
      <x:c r="G131" s="2"/>
      <x:c r="H131" s="2"/>
      <x:c r="I131" s="2"/>
      <x:c r="J131" s="2"/>
      <x:c r="K131" s="2"/>
    </x:row>
    <x:row r="132" ht="24" customHeight="1">
      <x:c r="A132" s="13"/>
      <x:c r="B132" s="13"/>
      <x:c r="C132" s="13"/>
      <x:c r="D132" s="13"/>
      <x:c r="E132" s="13"/>
      <x:c r="F132" s="2"/>
      <x:c r="G132" s="2"/>
      <x:c r="H132" s="2"/>
      <x:c r="I132" s="2"/>
      <x:c r="J132" s="2"/>
      <x:c r="K132" s="2"/>
    </x:row>
    <x:row r="133" ht="24" customHeight="1">
      <x:c r="A133" s="13"/>
      <x:c r="B133" s="13"/>
      <x:c r="C133" s="13"/>
      <x:c r="D133" s="13"/>
      <x:c r="E133" s="13"/>
      <x:c r="F133" s="2"/>
      <x:c r="G133" s="2"/>
      <x:c r="H133" s="2"/>
      <x:c r="I133" s="2"/>
      <x:c r="J133" s="2"/>
      <x:c r="K133" s="2"/>
    </x:row>
    <x:row r="134" ht="24" customHeight="1">
      <x:c r="A134" s="13"/>
      <x:c r="B134" s="13"/>
      <x:c r="C134" s="13"/>
      <x:c r="D134" s="13"/>
      <x:c r="E134" s="13"/>
      <x:c r="F134" s="2"/>
      <x:c r="G134" s="2"/>
      <x:c r="H134" s="2"/>
      <x:c r="I134" s="2"/>
      <x:c r="J134" s="2"/>
      <x:c r="K134" s="2"/>
    </x:row>
    <x:row r="135" ht="24" customHeight="1">
      <x:c r="A135" s="13"/>
      <x:c r="B135" s="13"/>
      <x:c r="C135" s="13"/>
      <x:c r="D135" s="13"/>
      <x:c r="E135" s="13"/>
      <x:c r="F135" s="2"/>
      <x:c r="G135" s="2"/>
      <x:c r="H135" s="2"/>
      <x:c r="I135" s="2"/>
      <x:c r="J135" s="2"/>
      <x:c r="K135" s="2"/>
    </x:row>
    <x:row r="136" ht="24" customHeight="1">
      <x:c r="A136" s="13"/>
      <x:c r="B136" s="13"/>
      <x:c r="C136" s="13"/>
      <x:c r="D136" s="13"/>
      <x:c r="E136" s="13"/>
      <x:c r="F136" s="2"/>
      <x:c r="G136" s="2"/>
      <x:c r="H136" s="2"/>
      <x:c r="I136" s="2"/>
      <x:c r="J136" s="2"/>
      <x:c r="K136" s="2"/>
    </x:row>
    <x:row r="137" ht="24" customHeight="1">
      <x:c r="A137" s="13"/>
      <x:c r="B137" s="13"/>
      <x:c r="C137" s="13"/>
      <x:c r="D137" s="13"/>
      <x:c r="E137" s="13"/>
      <x:c r="F137" s="2"/>
      <x:c r="G137" s="2"/>
      <x:c r="H137" s="2"/>
      <x:c r="I137" s="2"/>
      <x:c r="J137" s="2"/>
      <x:c r="K137" s="2"/>
    </x:row>
    <x:row r="138" ht="24" customHeight="1">
      <x:c r="A138" s="13"/>
      <x:c r="B138" s="13"/>
      <x:c r="C138" s="13"/>
      <x:c r="D138" s="13"/>
      <x:c r="E138" s="13"/>
      <x:c r="F138" s="2"/>
      <x:c r="G138" s="2"/>
      <x:c r="H138" s="2"/>
      <x:c r="I138" s="2"/>
      <x:c r="J138" s="2"/>
      <x:c r="K138" s="2"/>
    </x:row>
    <x:row r="139" ht="24" customHeight="1">
      <x:c r="A139" s="13"/>
      <x:c r="B139" s="13"/>
      <x:c r="C139" s="13"/>
      <x:c r="D139" s="13"/>
      <x:c r="E139" s="13"/>
      <x:c r="F139" s="2"/>
      <x:c r="G139" s="2"/>
      <x:c r="H139" s="2"/>
      <x:c r="I139" s="2"/>
      <x:c r="J139" s="2"/>
      <x:c r="K139" s="2"/>
    </x:row>
    <x:row r="140" ht="24" customHeight="1">
      <x:c r="A140" s="13"/>
      <x:c r="B140" s="13"/>
      <x:c r="C140" s="13"/>
      <x:c r="D140" s="13"/>
      <x:c r="E140" s="13"/>
      <x:c r="F140" s="2"/>
      <x:c r="G140" s="2"/>
      <x:c r="H140" s="2"/>
      <x:c r="I140" s="2"/>
      <x:c r="J140" s="2"/>
      <x:c r="K140" s="2"/>
    </x:row>
    <x:row r="141" ht="24" customHeight="1">
      <x:c r="A141" s="13"/>
      <x:c r="B141" s="13"/>
      <x:c r="C141" s="13"/>
      <x:c r="D141" s="13"/>
      <x:c r="E141" s="13"/>
      <x:c r="F141" s="2"/>
      <x:c r="G141" s="2"/>
      <x:c r="H141" s="2"/>
      <x:c r="I141" s="2"/>
      <x:c r="J141" s="2"/>
      <x:c r="K141" s="2"/>
    </x:row>
    <x:row r="142" ht="24" customHeight="1">
      <x:c r="A142" s="13"/>
      <x:c r="B142" s="13"/>
      <x:c r="C142" s="13"/>
      <x:c r="D142" s="13"/>
      <x:c r="E142" s="13"/>
      <x:c r="F142" s="2"/>
      <x:c r="G142" s="2"/>
      <x:c r="H142" s="2"/>
      <x:c r="I142" s="2"/>
      <x:c r="J142" s="2"/>
      <x:c r="K142" s="2"/>
    </x:row>
    <x:row r="143" ht="24" customHeight="1">
      <x:c r="A143" s="13"/>
      <x:c r="B143" s="13"/>
      <x:c r="C143" s="13"/>
      <x:c r="D143" s="13"/>
      <x:c r="E143" s="13"/>
      <x:c r="F143" s="2"/>
      <x:c r="G143" s="2"/>
      <x:c r="H143" s="2"/>
      <x:c r="I143" s="2"/>
      <x:c r="J143" s="2"/>
      <x:c r="K143" s="2"/>
    </x:row>
    <x:row r="144" ht="24" customHeight="1">
      <x:c r="A144" s="13"/>
      <x:c r="B144" s="13"/>
      <x:c r="C144" s="13"/>
      <x:c r="D144" s="13"/>
      <x:c r="E144" s="13"/>
      <x:c r="F144" s="2"/>
      <x:c r="G144" s="2"/>
      <x:c r="H144" s="2"/>
      <x:c r="I144" s="2"/>
      <x:c r="J144" s="2"/>
      <x:c r="K144" s="2"/>
    </x:row>
    <x:row r="145" ht="24" customHeight="1">
      <x:c r="A145" s="13"/>
      <x:c r="B145" s="13"/>
      <x:c r="C145" s="13"/>
      <x:c r="D145" s="13"/>
      <x:c r="E145" s="13"/>
      <x:c r="F145" s="2"/>
      <x:c r="G145" s="2"/>
      <x:c r="H145" s="2"/>
      <x:c r="I145" s="2"/>
      <x:c r="J145" s="2"/>
      <x:c r="K145" s="2"/>
    </x:row>
    <x:row r="146" ht="24" customHeight="1">
      <x:c r="A146" s="13"/>
      <x:c r="B146" s="13"/>
      <x:c r="C146" s="13"/>
      <x:c r="D146" s="13"/>
      <x:c r="E146" s="13"/>
      <x:c r="F146" s="2"/>
      <x:c r="G146" s="2"/>
      <x:c r="H146" s="2"/>
      <x:c r="I146" s="2"/>
      <x:c r="J146" s="2"/>
      <x:c r="K146" s="2"/>
    </x:row>
    <x:row r="147" ht="24" customHeight="1">
      <x:c r="A147" s="13"/>
      <x:c r="B147" s="13"/>
      <x:c r="C147" s="13"/>
      <x:c r="D147" s="13"/>
      <x:c r="E147" s="13"/>
      <x:c r="F147" s="2"/>
      <x:c r="G147" s="2"/>
      <x:c r="H147" s="2"/>
      <x:c r="I147" s="2"/>
      <x:c r="J147" s="2"/>
      <x:c r="K147" s="2"/>
    </x:row>
    <x:row r="148" ht="24" customHeight="1">
      <x:c r="A148" s="13"/>
      <x:c r="B148" s="13"/>
      <x:c r="C148" s="13"/>
      <x:c r="D148" s="13"/>
      <x:c r="E148" s="13"/>
      <x:c r="F148" s="2"/>
      <x:c r="G148" s="2"/>
      <x:c r="H148" s="2"/>
      <x:c r="I148" s="2"/>
      <x:c r="J148" s="2"/>
      <x:c r="K148" s="2"/>
    </x:row>
    <x:row r="149" ht="24" customHeight="1">
      <x:c r="A149" s="13"/>
      <x:c r="B149" s="13"/>
      <x:c r="C149" s="13"/>
      <x:c r="D149" s="13"/>
      <x:c r="E149" s="13"/>
      <x:c r="F149" s="2"/>
      <x:c r="G149" s="2"/>
      <x:c r="H149" s="2"/>
      <x:c r="I149" s="2"/>
      <x:c r="J149" s="2"/>
      <x:c r="K149" s="2"/>
    </x:row>
    <x:row r="150" ht="24" customHeight="1">
      <x:c r="A150" s="13"/>
      <x:c r="B150" s="13"/>
      <x:c r="C150" s="13"/>
      <x:c r="D150" s="13"/>
      <x:c r="E150" s="13"/>
      <x:c r="F150" s="2"/>
      <x:c r="G150" s="2"/>
      <x:c r="H150" s="2"/>
      <x:c r="I150" s="2"/>
      <x:c r="J150" s="2"/>
      <x:c r="K150" s="2"/>
    </x:row>
    <x:row r="151" ht="24" customHeight="1">
      <x:c r="A151" s="13"/>
      <x:c r="B151" s="13"/>
      <x:c r="C151" s="13"/>
      <x:c r="D151" s="13"/>
      <x:c r="E151" s="13"/>
      <x:c r="F151" s="2"/>
      <x:c r="G151" s="2"/>
      <x:c r="H151" s="2"/>
      <x:c r="I151" s="2"/>
      <x:c r="J151" s="2"/>
      <x:c r="K151" s="2"/>
    </x:row>
    <x:row r="152" ht="24" customHeight="1">
      <x:c r="A152" s="13"/>
      <x:c r="B152" s="13"/>
      <x:c r="C152" s="13"/>
      <x:c r="D152" s="13"/>
      <x:c r="E152" s="13"/>
      <x:c r="F152" s="2"/>
      <x:c r="G152" s="2"/>
      <x:c r="H152" s="2"/>
      <x:c r="I152" s="2"/>
      <x:c r="J152" s="2"/>
      <x:c r="K152" s="2"/>
    </x:row>
    <x:row r="153" ht="24" customHeight="1">
      <x:c r="A153" s="13"/>
      <x:c r="B153" s="13"/>
      <x:c r="C153" s="13"/>
      <x:c r="D153" s="13"/>
      <x:c r="E153" s="13"/>
      <x:c r="F153" s="2"/>
      <x:c r="G153" s="2"/>
      <x:c r="H153" s="2"/>
      <x:c r="I153" s="2"/>
      <x:c r="J153" s="2"/>
      <x:c r="K153" s="2"/>
    </x:row>
    <x:row r="154" ht="24" customHeight="1">
      <x:c r="A154" s="13"/>
      <x:c r="B154" s="13"/>
      <x:c r="C154" s="13"/>
      <x:c r="D154" s="13"/>
      <x:c r="E154" s="13"/>
      <x:c r="F154" s="2"/>
      <x:c r="G154" s="2"/>
      <x:c r="H154" s="2"/>
      <x:c r="I154" s="2"/>
      <x:c r="J154" s="2"/>
      <x:c r="K154" s="2"/>
    </x:row>
    <x:row r="155" ht="24" customHeight="1">
      <x:c r="A155" s="13"/>
      <x:c r="B155" s="13"/>
      <x:c r="C155" s="13"/>
      <x:c r="D155" s="13"/>
      <x:c r="E155" s="13"/>
      <x:c r="F155" s="2"/>
      <x:c r="G155" s="2"/>
      <x:c r="H155" s="2"/>
      <x:c r="I155" s="2"/>
      <x:c r="J155" s="2"/>
      <x:c r="K155" s="2"/>
    </x:row>
    <x:row r="156" ht="24" customHeight="1">
      <x:c r="A156" s="13"/>
      <x:c r="B156" s="13"/>
      <x:c r="C156" s="13"/>
      <x:c r="D156" s="13"/>
      <x:c r="E156" s="13"/>
      <x:c r="F156" s="2"/>
      <x:c r="G156" s="2"/>
      <x:c r="H156" s="2"/>
      <x:c r="I156" s="2"/>
      <x:c r="J156" s="2"/>
      <x:c r="K156" s="2"/>
    </x:row>
    <x:row r="157" ht="24" customHeight="1">
      <x:c r="A157" s="13"/>
      <x:c r="B157" s="13"/>
      <x:c r="C157" s="13"/>
      <x:c r="D157" s="13"/>
      <x:c r="E157" s="13"/>
      <x:c r="F157" s="2"/>
      <x:c r="G157" s="2"/>
      <x:c r="H157" s="2"/>
      <x:c r="I157" s="2"/>
      <x:c r="J157" s="2"/>
      <x:c r="K157" s="2"/>
    </x:row>
    <x:row r="158" ht="24" customHeight="1">
      <x:c r="A158" s="13"/>
      <x:c r="B158" s="13"/>
      <x:c r="C158" s="13"/>
      <x:c r="D158" s="13"/>
      <x:c r="E158" s="13"/>
      <x:c r="F158" s="2"/>
      <x:c r="G158" s="2"/>
      <x:c r="H158" s="2"/>
      <x:c r="I158" s="2"/>
      <x:c r="J158" s="2"/>
      <x:c r="K158" s="2"/>
    </x:row>
    <x:row r="159" ht="24" customHeight="1">
      <x:c r="A159" s="13"/>
      <x:c r="B159" s="13"/>
      <x:c r="C159" s="13"/>
      <x:c r="D159" s="13"/>
      <x:c r="E159" s="13"/>
      <x:c r="F159" s="2"/>
      <x:c r="G159" s="2"/>
      <x:c r="H159" s="2"/>
      <x:c r="I159" s="2"/>
      <x:c r="J159" s="2"/>
      <x:c r="K159" s="2"/>
    </x:row>
    <x:row r="160" ht="24" customHeight="1">
      <x:c r="A160" s="13"/>
      <x:c r="B160" s="13"/>
      <x:c r="C160" s="13"/>
      <x:c r="D160" s="13"/>
      <x:c r="E160" s="13"/>
      <x:c r="F160" s="2"/>
      <x:c r="G160" s="2"/>
      <x:c r="H160" s="2"/>
      <x:c r="I160" s="2"/>
      <x:c r="J160" s="2"/>
      <x:c r="K160" s="2"/>
    </x:row>
    <x:row r="161" ht="24" customHeight="1">
      <x:c r="A161" s="13"/>
      <x:c r="B161" s="13"/>
      <x:c r="C161" s="13"/>
      <x:c r="D161" s="13"/>
      <x:c r="E161" s="13"/>
      <x:c r="F161" s="2"/>
      <x:c r="G161" s="2"/>
      <x:c r="H161" s="2"/>
      <x:c r="I161" s="2"/>
      <x:c r="J161" s="2"/>
      <x:c r="K161" s="2"/>
    </x:row>
    <x:row r="162" ht="24" customHeight="1">
      <x:c r="A162" s="13"/>
      <x:c r="B162" s="13"/>
      <x:c r="C162" s="13"/>
      <x:c r="D162" s="13"/>
      <x:c r="E162" s="13"/>
      <x:c r="F162" s="2"/>
      <x:c r="G162" s="2"/>
      <x:c r="H162" s="2"/>
      <x:c r="I162" s="2"/>
      <x:c r="J162" s="2"/>
      <x:c r="K162" s="2"/>
    </x:row>
    <x:row r="163" ht="24" customHeight="1">
      <x:c r="A163" s="13"/>
      <x:c r="B163" s="13"/>
      <x:c r="C163" s="13"/>
      <x:c r="D163" s="13"/>
      <x:c r="E163" s="13"/>
      <x:c r="F163" s="2"/>
      <x:c r="G163" s="2"/>
      <x:c r="H163" s="2"/>
      <x:c r="I163" s="2"/>
      <x:c r="J163" s="2"/>
      <x:c r="K163" s="2"/>
    </x:row>
    <x:row r="164" ht="24" customHeight="1">
      <x:c r="A164" s="13"/>
      <x:c r="B164" s="13"/>
      <x:c r="C164" s="13"/>
      <x:c r="D164" s="13"/>
      <x:c r="E164" s="13"/>
      <x:c r="F164" s="2"/>
      <x:c r="G164" s="2"/>
      <x:c r="H164" s="2"/>
      <x:c r="I164" s="2"/>
      <x:c r="J164" s="2"/>
      <x:c r="K164" s="2"/>
    </x:row>
    <x:row r="165" ht="24" customHeight="1">
      <x:c r="A165" s="13"/>
      <x:c r="B165" s="13"/>
      <x:c r="C165" s="13"/>
      <x:c r="D165" s="13"/>
      <x:c r="E165" s="13"/>
      <x:c r="F165" s="2"/>
      <x:c r="G165" s="2"/>
      <x:c r="H165" s="2"/>
      <x:c r="I165" s="2"/>
      <x:c r="J165" s="2"/>
      <x:c r="K165" s="2"/>
    </x:row>
    <x:row r="166" ht="24" customHeight="1">
      <x:c r="A166" s="13"/>
      <x:c r="B166" s="13"/>
      <x:c r="C166" s="13"/>
      <x:c r="D166" s="13"/>
      <x:c r="E166" s="13"/>
      <x:c r="F166" s="2"/>
      <x:c r="G166" s="2"/>
      <x:c r="H166" s="2"/>
      <x:c r="I166" s="2"/>
      <x:c r="J166" s="2"/>
      <x:c r="K166" s="2"/>
    </x:row>
  </x:sheetData>
  <x:dataValidations count="1">
    <x:dataValidation type="list" sqref="D87:D166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89999389648438" hidden="0" customWidth="1"/>
    <x:col min="2" max="2" width="15.5600004196167" hidden="0" customWidth="1"/>
    <x:col min="3" max="3" width="15.5600004196167" hidden="0" customWidth="1"/>
    <x:col min="4" max="4" width="8.890000343322754" hidden="0" customWidth="1"/>
    <x:col min="5" max="5" width="14.4399995803833" hidden="0" customWidth="1"/>
    <x:col min="6" max="6" width="52.220001220703125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Room measurements — provisional geometry</x:v>
      </x:c>
      <x:c r="B2" s="2"/>
      <x:c r="C2" s="2"/>
      <x:c r="D2" s="2"/>
      <x:c r="E2" s="2"/>
      <x:c r="F2" s="2"/>
    </x:row>
    <x:row r="3" ht="24" customHeight="1">
      <x:c r="A3" s="4"/>
      <x:c r="B3" s="4"/>
      <x:c r="C3" s="4"/>
      <x:c r="D3" s="4"/>
      <x:c r="E3" s="4"/>
      <x:c r="F3" s="4"/>
    </x:row>
    <x:row r="4" ht="24" customHeight="1">
      <x:c r="A4" s="2" t="str">
        <x:v>Source: current packet room.geometry_ref. Independent tape measurements are absent.</x:v>
      </x:c>
      <x:c r="B4" s="2"/>
      <x:c r="C4" s="2"/>
      <x:c r="D4" s="2"/>
      <x:c r="E4" s="2"/>
      <x:c r="F4" s="2"/>
    </x:row>
    <x:row r="5" ht="34" customHeight="1">
      <x:c r="A5" s="8" t="str">
        <x:v>Measurement</x:v>
      </x:c>
      <x:c r="B5" s="8" t="str">
        <x:v>Independent truth</x:v>
      </x:c>
      <x:c r="C5" s="8" t="str">
        <x:v>System value</x:v>
      </x:c>
      <x:c r="D5" s="8" t="str">
        <x:v>Unit</x:v>
      </x:c>
      <x:c r="E5" s="8" t="str">
        <x:v>Relative error</x:v>
      </x:c>
      <x:c r="F5" s="8" t="str">
        <x:v>System limitation</x:v>
      </x:c>
    </x:row>
    <x:row r="6" ht="40" customHeight="1">
      <x:c r="A6" s="2" t="str">
        <x:v>Length</x:v>
      </x:c>
      <x:c r="B6" s="21"/>
      <x:c r="C6" s="15"/>
      <x:c r="D6" s="2" t="str">
        <x:v>m</x:v>
      </x:c>
      <x:c r="E6" s="10" t="str">
        <x:f>IF(OR(B6="",B6&lt;=0,C6=""),"Unverified",ABS(C6-B6)/B6)</x:f>
        <x:v>Unverified</x:v>
      </x:c>
      <x:c r="F6" s="9" t="str">
        <x:v>Unavailable: floor outline incomplete</x:v>
      </x:c>
    </x:row>
    <x:row r="7" ht="40" customHeight="1">
      <x:c r="A7" s="2" t="str">
        <x:v>Width</x:v>
      </x:c>
      <x:c r="B7" s="21"/>
      <x:c r="C7" s="15"/>
      <x:c r="D7" s="2" t="str">
        <x:v>m</x:v>
      </x:c>
      <x:c r="E7" s="10" t="str">
        <x:f>IF(OR(B7="",B7&lt;=0,C7=""),"Unverified",ABS(C7-B7)/B7)</x:f>
        <x:v>Unverified</x:v>
      </x:c>
      <x:c r="F7" s="9" t="str">
        <x:v>Unavailable: floor outline incomplete</x:v>
      </x:c>
    </x:row>
    <x:row r="8" ht="40" customHeight="1">
      <x:c r="A8" s="2" t="str">
        <x:v>Ceiling height</x:v>
      </x:c>
      <x:c r="B8" s="21"/>
      <x:c r="C8" s="15" t="n">
        <x:v>2.9399337768554688</x:v>
      </x:c>
      <x:c r="D8" s="2" t="str">
        <x:v>m</x:v>
      </x:c>
      <x:c r="E8" s="10" t="str">
        <x:f>IF(OR(B8="",B8&lt;=0,C8=""),"Unverified",ABS(C8-B8)/B8)</x:f>
        <x:v>Unverified</x:v>
      </x:c>
      <x:c r="F8" s="9" t="str">
        <x:v>Provisional RoomPlan estimate</x:v>
      </x:c>
    </x:row>
    <x:row r="9" ht="40" customHeight="1">
      <x:c r="A9" s="2" t="str">
        <x:v>Floor area</x:v>
      </x:c>
      <x:c r="B9" s="21"/>
      <x:c r="C9" s="15"/>
      <x:c r="D9" s="2" t="str">
        <x:v>m²</x:v>
      </x:c>
      <x:c r="E9" s="10" t="str">
        <x:f>IF(OR(B9="",B9&lt;=0,C9=""),"Unverified",ABS(C9-B9)/B9)</x:f>
        <x:v>Unverified</x:v>
      </x:c>
      <x:c r="F9" s="9" t="str">
        <x:v>Unavailable: floor geometry missing or incomplete</x:v>
      </x:c>
    </x:row>
    <x:row r="10" ht="40" customHeight="1">
      <x:c r="A10" s="2" t="str">
        <x:v>Gross wall area</x:v>
      </x:c>
      <x:c r="B10" s="21"/>
      <x:c r="C10" s="15" t="n">
        <x:v>48.65418721541092</x:v>
      </x:c>
      <x:c r="D10" s="2" t="str">
        <x:v>m²</x:v>
      </x:c>
      <x:c r="E10" s="10" t="str">
        <x:f>IF(OR(B10="",B10&lt;=0,C10=""),"Unverified",ABS(C10-B10)/B10)</x:f>
        <x:v>Unverified</x:v>
      </x:c>
      <x:c r="F10" s="9" t="str">
        <x:v>Provisional; scan was not finalized</x:v>
      </x:c>
    </x:row>
    <x:row r="11" ht="40" customHeight="1">
      <x:c r="A11" s="2" t="str">
        <x:v>Shelved wall area</x:v>
      </x:c>
      <x:c r="B11" s="21"/>
      <x:c r="C11" s="15" t="n">
        <x:v>0</x:v>
      </x:c>
      <x:c r="D11" s="2" t="str">
        <x:v>m²</x:v>
      </x:c>
      <x:c r="E11" s="10" t="str">
        <x:f>IF(OR(B11="",B11&lt;=0,C11=""),"Unverified",ABS(C11-B11)/B11)</x:f>
        <x:v>Unverified</x:v>
      </x:c>
      <x:c r="F11" s="9" t="str">
        <x:v>Zero recorded; no shelving associations. Not verified zero.</x:v>
      </x:c>
    </x:row>
    <x:row r="12" ht="24" customHeight="1">
      <x:c r="A12" s="2"/>
      <x:c r="B12" s="2"/>
      <x:c r="C12" s="2"/>
      <x:c r="D12" s="2"/>
      <x:c r="E12" s="2"/>
      <x:c r="F12" s="2"/>
    </x:row>
    <x:row r="13" ht="24" customHeight="1">
      <x:c r="A13" s="2"/>
      <x:c r="B13" s="2"/>
      <x:c r="C13" s="2"/>
      <x:c r="D13" s="2"/>
      <x:c r="E13" s="2"/>
      <x:c r="F13" s="2"/>
    </x:row>
    <x:row r="14" ht="24" customHeight="1">
      <x:c r="A14" s="2" t="str">
        <x:v>Scale: RoomPlan / ARKit LiDAR metric world coordinates from the same capture session.</x:v>
      </x:c>
      <x:c r="B14" s="2"/>
      <x:c r="C14" s="2"/>
      <x:c r="D14" s="2"/>
      <x:c r="E14" s="2"/>
      <x:c r="F14" s="2"/>
    </x:row>
    <x:row r="15" ht="24" customHeight="1">
      <x:c r="A15" s="2"/>
      <x:c r="B15" s="2"/>
      <x:c r="C15" s="2"/>
      <x:c r="D15" s="2"/>
      <x:c r="E15" s="2"/>
      <x:c r="F15" s="2"/>
    </x:row>
    <x:row r="16" ht="24" customHeight="1">
      <x:c r="A16" s="2" t="str">
        <x:v>Independent tape-measure sections — no observations recorded</x:v>
      </x:c>
      <x:c r="B16" s="2"/>
      <x:c r="C16" s="2"/>
      <x:c r="D16" s="2"/>
      <x:c r="E16" s="2"/>
      <x:c r="F16" s="2"/>
    </x:row>
    <x:row r="17" ht="24" customHeight="1">
      <x:c r="A17" s="2"/>
      <x:c r="B17" s="2"/>
      <x:c r="C17" s="2"/>
      <x:c r="D17" s="2"/>
      <x:c r="E17" s="2"/>
      <x:c r="F17" s="2"/>
    </x:row>
    <x:row r="18" ht="34" customHeight="1">
      <x:c r="A18" s="8" t="str">
        <x:v>Surface / section</x:v>
      </x:c>
      <x:c r="B18" s="8" t="str">
        <x:v>Length (m)</x:v>
      </x:c>
      <x:c r="C18" s="8" t="str">
        <x:v>Height / width (m)</x:v>
      </x:c>
      <x:c r="D18" s="8" t="str">
        <x:v>Shape</x:v>
      </x:c>
      <x:c r="E18" s="8" t="str">
        <x:v>Area (m²)</x:v>
      </x:c>
      <x:c r="F18" s="8" t="str">
        <x:v>Measurement sketch / notes</x:v>
      </x:c>
    </x:row>
    <x:row r="19" ht="24" customHeight="1">
      <x:c r="A19" s="13"/>
      <x:c r="B19" s="21"/>
      <x:c r="C19" s="21"/>
      <x:c r="D19" s="13"/>
      <x:c r="E19" s="15" t="str">
        <x:f>IF(OR(B19="",C19="",D19&lt;&gt;"Rectangle"),"",B19*C19)</x:f>
      </x:c>
      <x:c r="F19" s="13"/>
    </x:row>
    <x:row r="20" ht="24" customHeight="1">
      <x:c r="A20" s="13"/>
      <x:c r="B20" s="21"/>
      <x:c r="C20" s="21"/>
      <x:c r="D20" s="13"/>
      <x:c r="E20" s="15" t="str">
        <x:f>IF(OR(B20="",C20="",D20&lt;&gt;"Rectangle"),"",B20*C20)</x:f>
      </x:c>
      <x:c r="F20" s="13"/>
    </x:row>
    <x:row r="21" ht="24" customHeight="1">
      <x:c r="A21" s="13"/>
      <x:c r="B21" s="21"/>
      <x:c r="C21" s="21"/>
      <x:c r="D21" s="13"/>
      <x:c r="E21" s="15" t="str">
        <x:f>IF(OR(B21="",C21="",D21&lt;&gt;"Rectangle"),"",B21*C21)</x:f>
      </x:c>
      <x:c r="F21" s="13"/>
    </x:row>
    <x:row r="22" ht="24" customHeight="1">
      <x:c r="A22" s="13"/>
      <x:c r="B22" s="21"/>
      <x:c r="C22" s="21"/>
      <x:c r="D22" s="13"/>
      <x:c r="E22" s="15" t="str">
        <x:f>IF(OR(B22="",C22="",D22&lt;&gt;"Rectangle"),"",B22*C22)</x:f>
      </x:c>
      <x:c r="F22" s="13"/>
    </x:row>
    <x:row r="23" ht="24" customHeight="1">
      <x:c r="A23" s="13"/>
      <x:c r="B23" s="21"/>
      <x:c r="C23" s="21"/>
      <x:c r="D23" s="13"/>
      <x:c r="E23" s="15" t="str">
        <x:f>IF(OR(B23="",C23="",D23&lt;&gt;"Rectangle"),"",B23*C23)</x:f>
      </x:c>
      <x:c r="F23" s="13"/>
    </x:row>
    <x:row r="24" ht="24" customHeight="1">
      <x:c r="A24" s="13"/>
      <x:c r="B24" s="21"/>
      <x:c r="C24" s="21"/>
      <x:c r="D24" s="13"/>
      <x:c r="E24" s="15" t="str">
        <x:f>IF(OR(B24="",C24="",D24&lt;&gt;"Rectangle"),"",B24*C24)</x:f>
      </x:c>
      <x:c r="F24" s="13"/>
    </x:row>
    <x:row r="25" ht="24" customHeight="1">
      <x:c r="A25" s="13"/>
      <x:c r="B25" s="21"/>
      <x:c r="C25" s="21"/>
      <x:c r="D25" s="13"/>
      <x:c r="E25" s="15" t="str">
        <x:f>IF(OR(B25="",C25="",D25&lt;&gt;"Rectangle"),"",B25*C25)</x:f>
      </x:c>
      <x:c r="F25" s="13"/>
    </x:row>
    <x:row r="26" ht="24" customHeight="1">
      <x:c r="A26" s="13"/>
      <x:c r="B26" s="21"/>
      <x:c r="C26" s="21"/>
      <x:c r="D26" s="13"/>
      <x:c r="E26" s="15" t="str">
        <x:f>IF(OR(B26="",C26="",D26&lt;&gt;"Rectangle"),"",B26*C26)</x:f>
      </x:c>
      <x:c r="F26" s="13"/>
    </x:row>
    <x:row r="27" ht="24" customHeight="1">
      <x:c r="A27" s="13"/>
      <x:c r="B27" s="21"/>
      <x:c r="C27" s="21"/>
      <x:c r="D27" s="13"/>
      <x:c r="E27" s="15" t="str">
        <x:f>IF(OR(B27="",C27="",D27&lt;&gt;"Rectangle"),"",B27*C27)</x:f>
      </x:c>
      <x:c r="F27" s="13"/>
    </x:row>
    <x:row r="28" ht="24" customHeight="1">
      <x:c r="A28" s="13"/>
      <x:c r="B28" s="21"/>
      <x:c r="C28" s="21"/>
      <x:c r="D28" s="13"/>
      <x:c r="E28" s="15" t="str">
        <x:f>IF(OR(B28="",C28="",D28&lt;&gt;"Rectangle"),"",B28*C28)</x:f>
      </x:c>
      <x:c r="F28" s="13"/>
    </x:row>
  </x:sheetData>
  <x:conditionalFormatting sqref="E6:E11">
    <x:cfRule type="containsText" dxfId="6" priority="1" operator="containsText" text="Unverified"/>
    <x:cfRule type="containsText" dxfId="7" priority="2" operator="containsText" text="Fail"/>
  </x:conditionalFormatting>
  <x:pageMargins left="0.7" right="0.7" top="0.75" bottom="0.75" header="0.3" footer="0.3"/>
</x:worksheet>
</file>